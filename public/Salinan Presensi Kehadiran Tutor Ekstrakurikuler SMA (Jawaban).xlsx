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hidden" name="Juli" sheetId="2" r:id="rId5"/>
    <sheet state="hidden" name="AGUSTUS" sheetId="3" r:id="rId6"/>
    <sheet state="hidden" name="September" sheetId="4" r:id="rId7"/>
    <sheet state="hidden" name="Oktober" sheetId="5" r:id="rId8"/>
    <sheet state="visible" name="NOV" sheetId="6" r:id="rId9"/>
    <sheet state="visible" name="November" sheetId="7" r:id="rId10"/>
    <sheet state="hidden" name="Januari" sheetId="8" r:id="rId11"/>
    <sheet state="hidden" name="Februari" sheetId="9" r:id="rId12"/>
    <sheet state="hidden" name="Maret" sheetId="10" r:id="rId13"/>
    <sheet state="hidden" name="April" sheetId="11" r:id="rId14"/>
    <sheet state="hidden" name="Mei" sheetId="12" r:id="rId15"/>
  </sheets>
  <definedNames>
    <definedName hidden="1" localSheetId="2" name="Z_D350F161_6E76_4C68_8C74_453449805C90_.wvu.FilterData">AGUSTUS!$B$8:$F$61</definedName>
    <definedName hidden="1" localSheetId="3" name="Z_D350F161_6E76_4C68_8C74_453449805C90_.wvu.FilterData">September!$B$8:$F$61</definedName>
    <definedName hidden="1" localSheetId="2" name="Z_E9C06A09_1FCE_460B_B03F_1DEF4008E9FC_.wvu.FilterData">AGUSTUS!$B$8:$F$58</definedName>
    <definedName hidden="1" localSheetId="3" name="Z_E9C06A09_1FCE_460B_B03F_1DEF4008E9FC_.wvu.FilterData">September!$B$8:$F$58</definedName>
  </definedNames>
  <calcPr/>
  <customWorkbookViews>
    <customWorkbookView activeSheetId="0" maximized="1" windowHeight="0" windowWidth="0" guid="{D350F161-6E76-4C68-8C74-453449805C90}" name="Filter 2"/>
    <customWorkbookView activeSheetId="0" maximized="1" windowHeight="0" windowWidth="0" guid="{E9C06A09-1FCE-460B-B03F-1DEF4008E9FC}" name="Filter 1"/>
  </customWorkbookViews>
</workbook>
</file>

<file path=xl/sharedStrings.xml><?xml version="1.0" encoding="utf-8"?>
<sst xmlns="http://schemas.openxmlformats.org/spreadsheetml/2006/main" count="805" uniqueCount="59">
  <si>
    <t>Timestamp</t>
  </si>
  <si>
    <t>Tanggal dan waktu Presensi</t>
  </si>
  <si>
    <t>Nama Tutor</t>
  </si>
  <si>
    <t>Jenis Ekstrakurikuler</t>
  </si>
  <si>
    <t>Bulan Pelaksanaan</t>
  </si>
  <si>
    <t>Waktu Mulai Ekskul</t>
  </si>
  <si>
    <t>Waktu Selesai Ekskul</t>
  </si>
  <si>
    <t>Erik Rahmana</t>
  </si>
  <si>
    <t>Volli Ikhwan</t>
  </si>
  <si>
    <t>September</t>
  </si>
  <si>
    <t>Abang Putra Pratama</t>
  </si>
  <si>
    <t>Karate Ikhwan</t>
  </si>
  <si>
    <t>Agustus</t>
  </si>
  <si>
    <t>APRIYANTI</t>
  </si>
  <si>
    <t>Desain Poster AKhwat</t>
  </si>
  <si>
    <t>Anisa Sholihat</t>
  </si>
  <si>
    <t>Silat Akhwat</t>
  </si>
  <si>
    <t>Yuyun Rusmita</t>
  </si>
  <si>
    <t>Volli Akhwat</t>
  </si>
  <si>
    <t>Januarti</t>
  </si>
  <si>
    <t>Karate Akhwat</t>
  </si>
  <si>
    <t>BUSTAMI ARIPIN, S.Pd.I</t>
  </si>
  <si>
    <t>BAHASA ARAB</t>
  </si>
  <si>
    <t>Ririn</t>
  </si>
  <si>
    <t>Pramuka Akhwat</t>
  </si>
  <si>
    <t>Ikhsan Syamsi</t>
  </si>
  <si>
    <t>Silat Ikhwan</t>
  </si>
  <si>
    <t>Mardiana</t>
  </si>
  <si>
    <t>Taekwondo Akhwat</t>
  </si>
  <si>
    <t>M. Rendi Al Furqan</t>
  </si>
  <si>
    <t>Taekwondo Ikhwan</t>
  </si>
  <si>
    <t>Niyah</t>
  </si>
  <si>
    <t>PAISAL, M.Pd</t>
  </si>
  <si>
    <t>English Club Ikhwan</t>
  </si>
  <si>
    <t>Fikry</t>
  </si>
  <si>
    <t>Desain Poster  Ikhwan</t>
  </si>
  <si>
    <t>RIDHA  NURHALIZA</t>
  </si>
  <si>
    <t>Jurnalistik Akhwat</t>
  </si>
  <si>
    <t>Ririn Rahmayanti</t>
  </si>
  <si>
    <t>English Club Akhwat</t>
  </si>
  <si>
    <t>APSARI TRI RAHAYU</t>
  </si>
  <si>
    <t>Panahan Akhwat</t>
  </si>
  <si>
    <t>Firman Ananda</t>
  </si>
  <si>
    <t>Paskibra</t>
  </si>
  <si>
    <t>Musa Harahap</t>
  </si>
  <si>
    <t>Futsal</t>
  </si>
  <si>
    <t>Rendy Ramadhani</t>
  </si>
  <si>
    <t>Oktober</t>
  </si>
  <si>
    <t>November</t>
  </si>
  <si>
    <t>https://docs.google.com/spreadsheets/d/1763cJA4NTOjHpGgybD7SwT5Pp2RrzqPi1-ud4V0FsgI/edit?usp=sharing</t>
  </si>
  <si>
    <t>Rekap Kehadiran Tutor Ekstrakurikuler SMAIT Al Fityan Kubu Raya</t>
  </si>
  <si>
    <t>Tahun Pelajaran 2024-2025</t>
  </si>
  <si>
    <t>No</t>
  </si>
  <si>
    <t>Tanggal Presensi</t>
  </si>
  <si>
    <t>Mulai</t>
  </si>
  <si>
    <t>Selesai</t>
  </si>
  <si>
    <t>Honor</t>
  </si>
  <si>
    <t>Waktu Ekskul</t>
  </si>
  <si>
    <t>Tahun Pelajaran 2025-2026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</si>
</sst>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/>
    </xf>
    <xf borderId="5" fillId="0" fontId="1" numFmtId="14" xfId="0" applyAlignment="1" applyBorder="1" applyFont="1" applyNumberFormat="1">
      <alignment horizontal="left"/>
    </xf>
    <xf borderId="5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center"/>
    </xf>
    <xf borderId="5" fillId="0" fontId="1" numFmtId="165" xfId="0" applyAlignment="1" applyBorder="1" applyFont="1" applyNumberFormat="1">
      <alignment horizontal="center"/>
    </xf>
    <xf borderId="0" fillId="0" fontId="1" numFmtId="14" xfId="0" applyFont="1" applyNumberFormat="1"/>
    <xf borderId="0" fillId="0" fontId="1" numFmtId="0" xfId="0" applyFont="1"/>
    <xf borderId="0" fillId="0" fontId="1" numFmtId="164" xfId="0" applyFont="1" applyNumberFormat="1"/>
    <xf borderId="5" fillId="0" fontId="1" numFmtId="0" xfId="0" applyAlignment="1" applyBorder="1" applyFont="1">
      <alignment horizontal="center" readingOrder="0"/>
    </xf>
    <xf borderId="5" fillId="0" fontId="1" numFmtId="0" xfId="0" applyBorder="1" applyFont="1"/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ul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G274" displayName="Table2" name="Table2" id="1">
  <tableColumns count="7">
    <tableColumn name="No" id="1"/>
    <tableColumn name="Tanggal Presensi" id="2"/>
    <tableColumn name="Nama Tutor" id="3"/>
    <tableColumn name="Jenis Ekstrakurikuler" id="4"/>
    <tableColumn name="Mulai" id="5"/>
    <tableColumn name="Selesai" id="6"/>
    <tableColumn name="Honor" id="7"/>
  </tableColumns>
  <tableStyleInfo name="Jul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63cJA4NTOjHpGgybD7SwT5Pp2RrzqPi1-ud4V0FsgI/edit?usp=sharing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63cJA4NTOjHpGgybD7SwT5Pp2RrzqPi1-ud4V0Fsg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63cJA4NTOjHpGgybD7SwT5Pp2RrzqPi1-ud4V0FsgI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63cJA4NTOjHpGgybD7SwT5Pp2RrzqPi1-ud4V0FsgI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63cJA4NTOjHpGgybD7SwT5Pp2RrzqPi1-ud4V0FsgI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63cJA4NTOjHpGgybD7SwT5Pp2RrzqPi1-ud4V0FsgI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63cJA4NTOjHpGgybD7SwT5Pp2RrzqPi1-ud4V0FsgI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63cJA4NTOjHpGgybD7SwT5Pp2RrzqPi1-ud4V0FsgI/edit?usp=sharing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63cJA4NTOjHpGgybD7SwT5Pp2RrzqPi1-ud4V0FsgI/edit?usp=sharing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63cJA4NTOjHpGgybD7SwT5Pp2RrzqPi1-ud4V0FsgI/edit?usp=sharing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63cJA4NTOjHpGgybD7SwT5Pp2RrzqPi1-ud4V0FsgI/edit?usp=sharing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45901.58329609953</v>
      </c>
      <c r="B2" s="3">
        <v>45901.0</v>
      </c>
      <c r="C2" s="4" t="s">
        <v>7</v>
      </c>
      <c r="D2" s="4" t="s">
        <v>8</v>
      </c>
      <c r="E2" s="4" t="s">
        <v>9</v>
      </c>
      <c r="F2" s="5">
        <v>0.375</v>
      </c>
      <c r="G2" s="5">
        <v>0.5</v>
      </c>
    </row>
    <row r="3">
      <c r="A3" s="2">
        <v>45901.62193869213</v>
      </c>
      <c r="B3" s="3">
        <v>45875.0</v>
      </c>
      <c r="C3" s="4" t="s">
        <v>10</v>
      </c>
      <c r="D3" s="4" t="s">
        <v>11</v>
      </c>
      <c r="E3" s="4" t="s">
        <v>12</v>
      </c>
      <c r="F3" s="5">
        <v>0.6458333333357587</v>
      </c>
      <c r="G3" s="5">
        <v>0.7083333333357587</v>
      </c>
    </row>
    <row r="4">
      <c r="A4" s="2">
        <v>45901.622345324075</v>
      </c>
      <c r="B4" s="3">
        <v>45882.0</v>
      </c>
      <c r="C4" s="4" t="s">
        <v>10</v>
      </c>
      <c r="D4" s="4" t="s">
        <v>11</v>
      </c>
      <c r="E4" s="4" t="s">
        <v>12</v>
      </c>
      <c r="F4" s="5">
        <v>0.6458333333357587</v>
      </c>
      <c r="G4" s="5">
        <v>0.7083333333357587</v>
      </c>
    </row>
    <row r="5">
      <c r="A5" s="2">
        <v>45901.62268803241</v>
      </c>
      <c r="B5" s="3">
        <v>45797.0</v>
      </c>
      <c r="C5" s="4" t="s">
        <v>10</v>
      </c>
      <c r="D5" s="4" t="s">
        <v>11</v>
      </c>
      <c r="E5" s="4" t="s">
        <v>12</v>
      </c>
      <c r="F5" s="5">
        <v>0.6458333333357587</v>
      </c>
      <c r="G5" s="5">
        <v>0.7083333333357587</v>
      </c>
    </row>
    <row r="6">
      <c r="A6" s="2">
        <v>45901.623066134256</v>
      </c>
      <c r="B6" s="3">
        <v>45896.0</v>
      </c>
      <c r="C6" s="4" t="s">
        <v>10</v>
      </c>
      <c r="D6" s="4" t="s">
        <v>11</v>
      </c>
      <c r="E6" s="4" t="s">
        <v>12</v>
      </c>
      <c r="F6" s="5">
        <v>0.6458333333357587</v>
      </c>
      <c r="G6" s="5">
        <v>0.7083333333357587</v>
      </c>
    </row>
    <row r="7">
      <c r="A7" s="2">
        <v>45901.669550300925</v>
      </c>
      <c r="B7" s="3">
        <v>45885.0</v>
      </c>
      <c r="C7" s="4" t="s">
        <v>13</v>
      </c>
      <c r="D7" s="4" t="s">
        <v>14</v>
      </c>
      <c r="E7" s="4" t="s">
        <v>12</v>
      </c>
      <c r="F7" s="5">
        <v>0.40972222221898846</v>
      </c>
      <c r="G7" s="5">
        <v>0.5</v>
      </c>
    </row>
    <row r="8">
      <c r="A8" s="2">
        <v>45901.669971041665</v>
      </c>
      <c r="B8" s="3">
        <v>45892.0</v>
      </c>
      <c r="C8" s="4" t="s">
        <v>13</v>
      </c>
      <c r="D8" s="4" t="s">
        <v>14</v>
      </c>
      <c r="E8" s="4" t="s">
        <v>12</v>
      </c>
      <c r="F8" s="5">
        <v>0.40972222221898846</v>
      </c>
      <c r="G8" s="5">
        <v>0.5</v>
      </c>
    </row>
    <row r="9">
      <c r="A9" s="2">
        <v>45901.67034532408</v>
      </c>
      <c r="B9" s="3">
        <v>45899.0</v>
      </c>
      <c r="C9" s="4" t="s">
        <v>13</v>
      </c>
      <c r="D9" s="4" t="s">
        <v>14</v>
      </c>
      <c r="E9" s="4" t="s">
        <v>12</v>
      </c>
      <c r="F9" s="5">
        <v>0.40972222221898846</v>
      </c>
      <c r="G9" s="5">
        <v>0.5</v>
      </c>
    </row>
    <row r="10">
      <c r="A10" s="2">
        <v>45901.72239616898</v>
      </c>
      <c r="B10" s="3">
        <v>45896.0</v>
      </c>
      <c r="C10" s="4" t="s">
        <v>15</v>
      </c>
      <c r="D10" s="4" t="s">
        <v>16</v>
      </c>
      <c r="E10" s="4" t="s">
        <v>12</v>
      </c>
      <c r="F10" s="5">
        <v>0.6666666666642413</v>
      </c>
      <c r="G10" s="5">
        <v>0.7083333333357587</v>
      </c>
    </row>
    <row r="11">
      <c r="A11" s="2">
        <v>45901.7409928125</v>
      </c>
      <c r="B11" s="3">
        <v>45871.0</v>
      </c>
      <c r="C11" s="4" t="s">
        <v>17</v>
      </c>
      <c r="D11" s="4" t="s">
        <v>18</v>
      </c>
      <c r="E11" s="4" t="s">
        <v>12</v>
      </c>
      <c r="F11" s="5">
        <v>0.29861111110949423</v>
      </c>
      <c r="G11" s="5">
        <v>0.3819444444452529</v>
      </c>
    </row>
    <row r="12">
      <c r="A12" s="2">
        <v>45901.741328171294</v>
      </c>
      <c r="B12" s="3">
        <v>45885.0</v>
      </c>
      <c r="C12" s="4" t="s">
        <v>17</v>
      </c>
      <c r="D12" s="4" t="s">
        <v>18</v>
      </c>
      <c r="E12" s="4" t="s">
        <v>12</v>
      </c>
      <c r="F12" s="5">
        <v>0.29861111110949423</v>
      </c>
      <c r="G12" s="5">
        <v>0.3819444444452529</v>
      </c>
    </row>
    <row r="13">
      <c r="A13" s="2">
        <v>45901.74167539352</v>
      </c>
      <c r="B13" s="3">
        <v>45892.0</v>
      </c>
      <c r="C13" s="4" t="s">
        <v>17</v>
      </c>
      <c r="D13" s="4" t="s">
        <v>18</v>
      </c>
      <c r="E13" s="4" t="s">
        <v>12</v>
      </c>
      <c r="F13" s="5">
        <v>0.29861111110949423</v>
      </c>
      <c r="G13" s="5">
        <v>0.3819444444452529</v>
      </c>
    </row>
    <row r="14">
      <c r="A14" s="2">
        <v>45902.31856853009</v>
      </c>
      <c r="B14" s="3">
        <v>45896.0</v>
      </c>
      <c r="C14" s="4" t="s">
        <v>19</v>
      </c>
      <c r="D14" s="4" t="s">
        <v>20</v>
      </c>
      <c r="E14" s="4" t="s">
        <v>12</v>
      </c>
      <c r="F14" s="5">
        <v>0.6458333333357587</v>
      </c>
      <c r="G14" s="5">
        <v>0.7083333333357587</v>
      </c>
    </row>
    <row r="15">
      <c r="A15" s="2">
        <v>45902.319132743054</v>
      </c>
      <c r="B15" s="3">
        <v>45889.0</v>
      </c>
      <c r="C15" s="4" t="s">
        <v>19</v>
      </c>
      <c r="D15" s="4" t="s">
        <v>20</v>
      </c>
      <c r="E15" s="4" t="s">
        <v>12</v>
      </c>
      <c r="F15" s="5">
        <v>0.6458333333357587</v>
      </c>
      <c r="G15" s="5">
        <v>0.7083333333357587</v>
      </c>
    </row>
    <row r="16">
      <c r="A16" s="2">
        <v>45902.319552650464</v>
      </c>
      <c r="B16" s="3">
        <v>45882.0</v>
      </c>
      <c r="C16" s="4" t="s">
        <v>19</v>
      </c>
      <c r="D16" s="4" t="s">
        <v>20</v>
      </c>
      <c r="E16" s="4" t="s">
        <v>12</v>
      </c>
      <c r="F16" s="5">
        <v>0.6458333333357587</v>
      </c>
      <c r="G16" s="5">
        <v>0.7083333333357587</v>
      </c>
    </row>
    <row r="17">
      <c r="A17" s="2">
        <v>45902.32004543982</v>
      </c>
      <c r="B17" s="3">
        <v>45875.0</v>
      </c>
      <c r="C17" s="4" t="s">
        <v>19</v>
      </c>
      <c r="D17" s="4" t="s">
        <v>20</v>
      </c>
      <c r="E17" s="4" t="s">
        <v>12</v>
      </c>
      <c r="F17" s="5">
        <v>0.6458333333357587</v>
      </c>
      <c r="G17" s="5">
        <v>0.7083333333357587</v>
      </c>
    </row>
    <row r="18">
      <c r="A18" s="2">
        <v>45902.4611672801</v>
      </c>
      <c r="B18" s="3">
        <v>45901.0</v>
      </c>
      <c r="C18" s="4" t="s">
        <v>21</v>
      </c>
      <c r="D18" s="4" t="s">
        <v>22</v>
      </c>
      <c r="E18" s="4" t="s">
        <v>9</v>
      </c>
      <c r="F18" s="5">
        <v>0.71875</v>
      </c>
      <c r="G18" s="5">
        <v>0.75</v>
      </c>
    </row>
    <row r="19">
      <c r="A19" s="2">
        <v>45902.508258692134</v>
      </c>
      <c r="B19" s="3">
        <v>45876.0</v>
      </c>
      <c r="C19" s="4" t="s">
        <v>23</v>
      </c>
      <c r="D19" s="4" t="s">
        <v>24</v>
      </c>
      <c r="E19" s="4" t="s">
        <v>12</v>
      </c>
      <c r="F19" s="5">
        <v>0.625</v>
      </c>
      <c r="G19" s="5">
        <v>0.7083333333357587</v>
      </c>
    </row>
    <row r="20">
      <c r="A20" s="2">
        <v>45902.50874829861</v>
      </c>
      <c r="B20" s="3">
        <v>45884.0</v>
      </c>
      <c r="C20" s="4" t="s">
        <v>23</v>
      </c>
      <c r="D20" s="4" t="s">
        <v>24</v>
      </c>
      <c r="E20" s="4" t="s">
        <v>12</v>
      </c>
      <c r="F20" s="5">
        <v>0.625</v>
      </c>
      <c r="G20" s="5">
        <v>0.7083333333357587</v>
      </c>
    </row>
    <row r="21">
      <c r="A21" s="2">
        <v>45902.50918832176</v>
      </c>
      <c r="B21" s="3">
        <v>45876.0</v>
      </c>
      <c r="C21" s="4" t="s">
        <v>23</v>
      </c>
      <c r="D21" s="4" t="s">
        <v>24</v>
      </c>
      <c r="E21" s="4" t="s">
        <v>12</v>
      </c>
      <c r="F21" s="5">
        <v>0.625</v>
      </c>
      <c r="G21" s="5">
        <v>0.7083333333357587</v>
      </c>
    </row>
    <row r="22">
      <c r="A22" s="2">
        <v>45903.65123902778</v>
      </c>
      <c r="B22" s="3">
        <v>45903.0</v>
      </c>
      <c r="C22" s="4" t="s">
        <v>25</v>
      </c>
      <c r="D22" s="4" t="s">
        <v>26</v>
      </c>
      <c r="E22" s="4" t="s">
        <v>9</v>
      </c>
      <c r="F22" s="5">
        <v>0.6597222222189885</v>
      </c>
      <c r="G22" s="5">
        <v>0.7083333333357587</v>
      </c>
    </row>
    <row r="23">
      <c r="A23" s="2">
        <v>45903.67423684028</v>
      </c>
      <c r="B23" s="3">
        <v>45903.0</v>
      </c>
      <c r="C23" s="4" t="s">
        <v>27</v>
      </c>
      <c r="D23" s="4" t="s">
        <v>28</v>
      </c>
      <c r="E23" s="4" t="s">
        <v>9</v>
      </c>
      <c r="F23" s="5">
        <v>0.6458333333357587</v>
      </c>
      <c r="G23" s="5">
        <v>0.7083333333357587</v>
      </c>
    </row>
    <row r="24">
      <c r="A24" s="2">
        <v>45903.68209376157</v>
      </c>
      <c r="B24" s="3">
        <v>45903.0</v>
      </c>
      <c r="C24" s="4" t="s">
        <v>19</v>
      </c>
      <c r="D24" s="4" t="s">
        <v>20</v>
      </c>
      <c r="E24" s="4" t="s">
        <v>9</v>
      </c>
      <c r="F24" s="5">
        <v>0.6458333333357587</v>
      </c>
      <c r="G24" s="5">
        <v>0.7083333333357587</v>
      </c>
    </row>
    <row r="25">
      <c r="A25" s="2">
        <v>45903.715330543986</v>
      </c>
      <c r="B25" s="3">
        <v>45903.0</v>
      </c>
      <c r="C25" s="4" t="s">
        <v>15</v>
      </c>
      <c r="D25" s="4" t="s">
        <v>16</v>
      </c>
      <c r="E25" s="4" t="s">
        <v>9</v>
      </c>
      <c r="F25" s="5">
        <v>0.6784722222218988</v>
      </c>
      <c r="G25" s="5">
        <v>0.7083333333357587</v>
      </c>
    </row>
    <row r="26">
      <c r="A26" s="2">
        <v>45903.750453182874</v>
      </c>
      <c r="B26" s="3">
        <v>45903.0</v>
      </c>
      <c r="C26" s="4" t="s">
        <v>29</v>
      </c>
      <c r="D26" s="4" t="s">
        <v>30</v>
      </c>
      <c r="E26" s="4" t="s">
        <v>9</v>
      </c>
      <c r="F26" s="5">
        <v>0.6458333333357587</v>
      </c>
      <c r="G26" s="5">
        <v>0.7083333333357587</v>
      </c>
    </row>
    <row r="27">
      <c r="A27" s="2">
        <v>45904.48363859954</v>
      </c>
      <c r="B27" s="3">
        <v>45903.0</v>
      </c>
      <c r="C27" s="4" t="s">
        <v>10</v>
      </c>
      <c r="D27" s="4" t="s">
        <v>11</v>
      </c>
      <c r="E27" s="4" t="s">
        <v>9</v>
      </c>
      <c r="F27" s="5">
        <v>0.6458333333357587</v>
      </c>
      <c r="G27" s="5">
        <v>0.7083333333357587</v>
      </c>
    </row>
    <row r="28">
      <c r="A28" s="2">
        <v>45904.73554768518</v>
      </c>
      <c r="B28" s="3">
        <v>45904.0</v>
      </c>
      <c r="C28" s="4" t="s">
        <v>31</v>
      </c>
      <c r="D28" s="4" t="s">
        <v>24</v>
      </c>
      <c r="E28" s="4" t="s">
        <v>9</v>
      </c>
      <c r="F28" s="5">
        <v>0.6458333333357587</v>
      </c>
      <c r="G28" s="5">
        <v>0.7083333333357587</v>
      </c>
    </row>
    <row r="29">
      <c r="A29" s="2">
        <v>45906.41687811342</v>
      </c>
      <c r="B29" s="3">
        <v>45906.0</v>
      </c>
      <c r="C29" s="4" t="s">
        <v>32</v>
      </c>
      <c r="D29" s="4" t="s">
        <v>33</v>
      </c>
      <c r="E29" s="4" t="s">
        <v>9</v>
      </c>
      <c r="F29" s="5">
        <v>0.375</v>
      </c>
      <c r="G29" s="5">
        <v>0.48958333333575865</v>
      </c>
    </row>
    <row r="30">
      <c r="A30" s="2">
        <v>45906.46219130787</v>
      </c>
      <c r="B30" s="3">
        <v>45906.0</v>
      </c>
      <c r="C30" s="4" t="s">
        <v>34</v>
      </c>
      <c r="D30" s="4" t="s">
        <v>35</v>
      </c>
      <c r="E30" s="4" t="s">
        <v>9</v>
      </c>
      <c r="F30" s="5">
        <v>0.39583333333575865</v>
      </c>
      <c r="G30" s="5">
        <v>0.46527777778101154</v>
      </c>
    </row>
    <row r="31">
      <c r="A31" s="2">
        <v>45906.53985783565</v>
      </c>
      <c r="B31" s="3">
        <v>45906.0</v>
      </c>
      <c r="C31" s="4" t="s">
        <v>7</v>
      </c>
      <c r="D31" s="4" t="s">
        <v>8</v>
      </c>
      <c r="E31" s="4" t="s">
        <v>9</v>
      </c>
      <c r="F31" s="5">
        <v>0.3194444444452529</v>
      </c>
      <c r="G31" s="5">
        <v>0.38541666666424135</v>
      </c>
    </row>
    <row r="32">
      <c r="A32" s="2">
        <v>45908.77942229167</v>
      </c>
      <c r="B32" s="3">
        <v>45908.0</v>
      </c>
      <c r="C32" s="4" t="s">
        <v>21</v>
      </c>
      <c r="D32" s="4" t="s">
        <v>22</v>
      </c>
      <c r="E32" s="4" t="s">
        <v>9</v>
      </c>
      <c r="F32" s="5">
        <v>0.7152777777810115</v>
      </c>
      <c r="G32" s="5">
        <v>0.7534722222189885</v>
      </c>
    </row>
    <row r="33">
      <c r="A33" s="2">
        <v>45910.74106270833</v>
      </c>
      <c r="B33" s="3">
        <v>45910.0</v>
      </c>
      <c r="C33" s="4" t="s">
        <v>10</v>
      </c>
      <c r="D33" s="4" t="s">
        <v>11</v>
      </c>
      <c r="E33" s="4" t="s">
        <v>9</v>
      </c>
      <c r="F33" s="5">
        <v>0.6458333333357587</v>
      </c>
      <c r="G33" s="5">
        <v>0.7083333333357587</v>
      </c>
    </row>
    <row r="34">
      <c r="A34" s="2">
        <v>45911.5107733912</v>
      </c>
      <c r="B34" s="3">
        <v>45910.0</v>
      </c>
      <c r="C34" s="4" t="s">
        <v>29</v>
      </c>
      <c r="D34" s="4" t="s">
        <v>30</v>
      </c>
      <c r="E34" s="4" t="s">
        <v>9</v>
      </c>
      <c r="F34" s="5">
        <v>0.6458333333357587</v>
      </c>
      <c r="G34" s="5">
        <v>0.7083333333357587</v>
      </c>
    </row>
    <row r="35">
      <c r="A35" s="2">
        <v>45911.679032025466</v>
      </c>
      <c r="B35" s="3">
        <v>45911.0</v>
      </c>
      <c r="C35" s="4" t="s">
        <v>31</v>
      </c>
      <c r="D35" s="4" t="s">
        <v>24</v>
      </c>
      <c r="E35" s="4" t="s">
        <v>9</v>
      </c>
      <c r="F35" s="5">
        <v>0.6458333333357587</v>
      </c>
      <c r="G35" s="5">
        <v>0.7083333333357587</v>
      </c>
    </row>
    <row r="36">
      <c r="A36" s="2">
        <v>45913.3773372338</v>
      </c>
      <c r="B36" s="3">
        <v>45913.0</v>
      </c>
      <c r="C36" s="4" t="s">
        <v>36</v>
      </c>
      <c r="D36" s="4" t="s">
        <v>37</v>
      </c>
      <c r="E36" s="4" t="s">
        <v>9</v>
      </c>
      <c r="F36" s="5">
        <v>0.33333333333575865</v>
      </c>
      <c r="G36" s="5">
        <v>0.41666666666424135</v>
      </c>
    </row>
    <row r="37">
      <c r="A37" s="2">
        <v>45913.39101407408</v>
      </c>
      <c r="B37" s="3">
        <v>45906.0</v>
      </c>
      <c r="C37" s="4" t="s">
        <v>38</v>
      </c>
      <c r="D37" s="4" t="s">
        <v>39</v>
      </c>
      <c r="E37" s="4" t="s">
        <v>9</v>
      </c>
      <c r="F37" s="5">
        <v>0.375</v>
      </c>
      <c r="G37" s="5">
        <v>0.45833333333575865</v>
      </c>
    </row>
    <row r="38">
      <c r="A38" s="2">
        <v>45913.393250486115</v>
      </c>
      <c r="B38" s="3">
        <v>45913.0</v>
      </c>
      <c r="C38" s="4" t="s">
        <v>38</v>
      </c>
      <c r="D38" s="4" t="s">
        <v>39</v>
      </c>
      <c r="E38" s="4" t="s">
        <v>9</v>
      </c>
      <c r="F38" s="5">
        <v>0.375</v>
      </c>
      <c r="G38" s="5">
        <v>0.45833333333575865</v>
      </c>
    </row>
    <row r="39">
      <c r="A39" s="2">
        <v>45913.46143274306</v>
      </c>
      <c r="B39" s="3">
        <v>45913.0</v>
      </c>
      <c r="C39" s="4" t="s">
        <v>17</v>
      </c>
      <c r="D39" s="4" t="s">
        <v>18</v>
      </c>
      <c r="E39" s="4" t="s">
        <v>9</v>
      </c>
      <c r="F39" s="5">
        <v>0.29861111110949423</v>
      </c>
      <c r="G39" s="5">
        <v>0.3819444444452529</v>
      </c>
    </row>
    <row r="40">
      <c r="A40" s="2">
        <v>45913.500620694445</v>
      </c>
      <c r="B40" s="3">
        <v>45913.0</v>
      </c>
      <c r="C40" s="4" t="s">
        <v>13</v>
      </c>
      <c r="D40" s="4" t="s">
        <v>14</v>
      </c>
      <c r="E40" s="4" t="s">
        <v>9</v>
      </c>
      <c r="F40" s="5">
        <v>0.41666666666424135</v>
      </c>
      <c r="G40" s="5">
        <v>0.5</v>
      </c>
    </row>
    <row r="41">
      <c r="A41" s="2">
        <v>45917.675079050925</v>
      </c>
      <c r="B41" s="3">
        <v>45917.0</v>
      </c>
      <c r="C41" s="4" t="s">
        <v>27</v>
      </c>
      <c r="D41" s="4" t="s">
        <v>28</v>
      </c>
      <c r="E41" s="4" t="s">
        <v>9</v>
      </c>
      <c r="F41" s="5">
        <v>0.6458333333357587</v>
      </c>
      <c r="G41" s="5">
        <v>0.7083333333357587</v>
      </c>
    </row>
    <row r="42">
      <c r="A42" s="2">
        <v>45917.689520266205</v>
      </c>
      <c r="B42" s="3">
        <v>45917.0</v>
      </c>
      <c r="C42" s="4" t="s">
        <v>19</v>
      </c>
      <c r="D42" s="4" t="s">
        <v>20</v>
      </c>
      <c r="E42" s="4" t="s">
        <v>9</v>
      </c>
      <c r="F42" s="5">
        <v>0.6458333333357587</v>
      </c>
      <c r="G42" s="5">
        <v>0.7083333333357587</v>
      </c>
    </row>
    <row r="43">
      <c r="A43" s="2">
        <v>45917.71600011574</v>
      </c>
      <c r="B43" s="3">
        <v>45917.0</v>
      </c>
      <c r="C43" s="4" t="s">
        <v>10</v>
      </c>
      <c r="D43" s="4" t="s">
        <v>11</v>
      </c>
      <c r="E43" s="4" t="s">
        <v>9</v>
      </c>
      <c r="F43" s="5">
        <v>0.6458333333357587</v>
      </c>
      <c r="G43" s="5">
        <v>0.7083333333357587</v>
      </c>
    </row>
    <row r="44">
      <c r="A44" s="2">
        <v>45917.759122337964</v>
      </c>
      <c r="B44" s="3">
        <v>45917.0</v>
      </c>
      <c r="C44" s="4" t="s">
        <v>15</v>
      </c>
      <c r="D44" s="4" t="s">
        <v>16</v>
      </c>
      <c r="E44" s="4" t="s">
        <v>9</v>
      </c>
      <c r="F44" s="5">
        <v>0.6666666666642413</v>
      </c>
      <c r="G44" s="5">
        <v>0.7083333333357587</v>
      </c>
    </row>
    <row r="45">
      <c r="A45" s="2">
        <v>45918.710378240736</v>
      </c>
      <c r="B45" s="3">
        <v>45918.0</v>
      </c>
      <c r="C45" s="4" t="s">
        <v>31</v>
      </c>
      <c r="D45" s="4" t="s">
        <v>24</v>
      </c>
      <c r="E45" s="4" t="s">
        <v>9</v>
      </c>
      <c r="F45" s="5">
        <v>0.6458333333357587</v>
      </c>
      <c r="G45" s="5">
        <v>0.7083333333357587</v>
      </c>
    </row>
    <row r="46">
      <c r="A46" s="2">
        <v>45920.40728605324</v>
      </c>
      <c r="B46" s="3">
        <v>45920.0</v>
      </c>
      <c r="C46" s="4" t="s">
        <v>32</v>
      </c>
      <c r="D46" s="4" t="s">
        <v>33</v>
      </c>
      <c r="E46" s="4" t="s">
        <v>9</v>
      </c>
      <c r="F46" s="5">
        <v>0.375</v>
      </c>
      <c r="G46" s="5">
        <v>0.45833333333575865</v>
      </c>
    </row>
    <row r="47">
      <c r="A47" s="2">
        <v>45920.44615393519</v>
      </c>
      <c r="B47" s="3">
        <v>45920.0</v>
      </c>
      <c r="C47" s="4" t="s">
        <v>36</v>
      </c>
      <c r="D47" s="4" t="s">
        <v>37</v>
      </c>
      <c r="E47" s="4" t="s">
        <v>9</v>
      </c>
      <c r="F47" s="5">
        <v>0.4305555555547471</v>
      </c>
      <c r="G47" s="5">
        <v>0.5</v>
      </c>
    </row>
    <row r="48">
      <c r="A48" s="2">
        <v>45920.44949208334</v>
      </c>
      <c r="B48" s="3">
        <v>45913.0</v>
      </c>
      <c r="C48" s="4" t="s">
        <v>38</v>
      </c>
      <c r="D48" s="4" t="s">
        <v>39</v>
      </c>
      <c r="E48" s="4" t="s">
        <v>9</v>
      </c>
      <c r="F48" s="5">
        <v>0.375</v>
      </c>
      <c r="G48" s="5">
        <v>0.45833333333575865</v>
      </c>
    </row>
    <row r="49">
      <c r="A49" s="2">
        <v>45920.45008850694</v>
      </c>
      <c r="B49" s="3">
        <v>45920.0</v>
      </c>
      <c r="C49" s="4" t="s">
        <v>38</v>
      </c>
      <c r="D49" s="4" t="s">
        <v>39</v>
      </c>
      <c r="E49" s="4" t="s">
        <v>9</v>
      </c>
      <c r="F49" s="5">
        <v>0.375</v>
      </c>
      <c r="G49" s="5">
        <v>0.45833333333575865</v>
      </c>
    </row>
    <row r="50">
      <c r="A50" s="2">
        <v>45920.469263657404</v>
      </c>
      <c r="B50" s="3">
        <v>45920.0</v>
      </c>
      <c r="C50" s="4" t="s">
        <v>17</v>
      </c>
      <c r="D50" s="4" t="s">
        <v>18</v>
      </c>
      <c r="E50" s="4" t="s">
        <v>9</v>
      </c>
      <c r="F50" s="5">
        <v>0.29861111110949423</v>
      </c>
      <c r="G50" s="5">
        <v>0.3819444444452529</v>
      </c>
    </row>
    <row r="51">
      <c r="A51" s="2">
        <v>45920.473130046295</v>
      </c>
      <c r="B51" s="3">
        <v>45920.0</v>
      </c>
      <c r="C51" s="4" t="s">
        <v>7</v>
      </c>
      <c r="D51" s="4" t="s">
        <v>8</v>
      </c>
      <c r="E51" s="4" t="s">
        <v>9</v>
      </c>
      <c r="F51" s="5">
        <v>0.3125</v>
      </c>
      <c r="G51" s="5">
        <v>0.38541666666424135</v>
      </c>
    </row>
    <row r="52">
      <c r="A52" s="2">
        <v>45920.475565879635</v>
      </c>
      <c r="B52" s="3">
        <v>45920.0</v>
      </c>
      <c r="C52" s="4" t="s">
        <v>40</v>
      </c>
      <c r="D52" s="4" t="s">
        <v>41</v>
      </c>
      <c r="E52" s="4" t="s">
        <v>9</v>
      </c>
      <c r="F52" s="5">
        <v>0.29166666666424135</v>
      </c>
      <c r="G52" s="5">
        <v>0.375</v>
      </c>
    </row>
    <row r="53">
      <c r="A53" s="2">
        <v>45920.48472418981</v>
      </c>
      <c r="B53" s="3">
        <v>45920.0</v>
      </c>
      <c r="C53" s="4" t="s">
        <v>34</v>
      </c>
      <c r="D53" s="4" t="s">
        <v>35</v>
      </c>
      <c r="E53" s="4" t="s">
        <v>9</v>
      </c>
      <c r="F53" s="5">
        <v>0.39583333333575865</v>
      </c>
      <c r="G53" s="5">
        <v>0.46875</v>
      </c>
    </row>
    <row r="54">
      <c r="A54" s="2">
        <v>45920.87662793981</v>
      </c>
      <c r="B54" s="3">
        <v>45906.0</v>
      </c>
      <c r="C54" s="4" t="s">
        <v>7</v>
      </c>
      <c r="D54" s="4" t="s">
        <v>8</v>
      </c>
      <c r="E54" s="4" t="s">
        <v>9</v>
      </c>
      <c r="F54" s="5">
        <v>0.3125</v>
      </c>
      <c r="G54" s="5">
        <v>0.38541666666424135</v>
      </c>
    </row>
    <row r="55">
      <c r="A55" s="2">
        <v>45924.41154530093</v>
      </c>
      <c r="B55" s="3">
        <v>45922.0</v>
      </c>
      <c r="C55" s="4" t="s">
        <v>21</v>
      </c>
      <c r="D55" s="4" t="s">
        <v>22</v>
      </c>
      <c r="E55" s="4" t="s">
        <v>9</v>
      </c>
      <c r="F55" s="5">
        <v>0.7152777777810115</v>
      </c>
      <c r="G55" s="5">
        <v>0.75</v>
      </c>
    </row>
    <row r="56">
      <c r="A56" s="2">
        <v>45924.674701689815</v>
      </c>
      <c r="B56" s="3">
        <v>45924.0</v>
      </c>
      <c r="C56" s="4" t="s">
        <v>15</v>
      </c>
      <c r="D56" s="4" t="s">
        <v>16</v>
      </c>
      <c r="E56" s="4" t="s">
        <v>9</v>
      </c>
      <c r="F56" s="5">
        <v>0.6666666666642413</v>
      </c>
      <c r="G56" s="5">
        <v>0.7083333333357587</v>
      </c>
    </row>
    <row r="57">
      <c r="A57" s="2">
        <v>45924.721076875</v>
      </c>
      <c r="B57" s="3">
        <v>45924.0</v>
      </c>
      <c r="C57" s="4" t="s">
        <v>29</v>
      </c>
      <c r="D57" s="4" t="s">
        <v>30</v>
      </c>
      <c r="E57" s="4" t="s">
        <v>9</v>
      </c>
      <c r="F57" s="5">
        <v>0.6458333333357587</v>
      </c>
      <c r="G57" s="5">
        <v>0.7083333333357587</v>
      </c>
    </row>
    <row r="58">
      <c r="A58" s="2">
        <v>45924.741638321764</v>
      </c>
      <c r="B58" s="3">
        <v>45924.0</v>
      </c>
      <c r="C58" s="4" t="s">
        <v>19</v>
      </c>
      <c r="D58" s="4" t="s">
        <v>20</v>
      </c>
      <c r="E58" s="4" t="s">
        <v>9</v>
      </c>
      <c r="F58" s="5">
        <v>0.6458333333357587</v>
      </c>
      <c r="G58" s="5">
        <v>0.7083333333357587</v>
      </c>
    </row>
    <row r="59">
      <c r="A59" s="2">
        <v>45926.694889872684</v>
      </c>
      <c r="B59" s="3">
        <v>45926.0</v>
      </c>
      <c r="C59" s="4" t="s">
        <v>42</v>
      </c>
      <c r="D59" s="4" t="s">
        <v>43</v>
      </c>
      <c r="E59" s="4" t="s">
        <v>9</v>
      </c>
      <c r="F59" s="5">
        <v>0.6458333333357587</v>
      </c>
      <c r="G59" s="5">
        <v>0.7083333333357587</v>
      </c>
    </row>
    <row r="60">
      <c r="A60" s="2">
        <v>45926.77743483796</v>
      </c>
      <c r="B60" s="3">
        <v>45924.0</v>
      </c>
      <c r="C60" s="4" t="s">
        <v>10</v>
      </c>
      <c r="D60" s="4" t="s">
        <v>11</v>
      </c>
      <c r="E60" s="4" t="s">
        <v>9</v>
      </c>
      <c r="F60" s="5">
        <v>0.6458333333357587</v>
      </c>
      <c r="G60" s="5">
        <v>0.7083333333357587</v>
      </c>
    </row>
    <row r="61">
      <c r="A61" s="2">
        <v>45927.35298239584</v>
      </c>
      <c r="B61" s="3">
        <v>45920.0</v>
      </c>
      <c r="C61" s="4" t="s">
        <v>44</v>
      </c>
      <c r="D61" s="4" t="s">
        <v>45</v>
      </c>
      <c r="E61" s="4" t="s">
        <v>9</v>
      </c>
      <c r="F61" s="5">
        <v>0.29166666666424135</v>
      </c>
      <c r="G61" s="5">
        <v>0.375</v>
      </c>
    </row>
    <row r="62">
      <c r="A62" s="2">
        <v>45927.35378613426</v>
      </c>
      <c r="B62" s="3">
        <v>45927.0</v>
      </c>
      <c r="C62" s="4" t="s">
        <v>44</v>
      </c>
      <c r="D62" s="4" t="s">
        <v>45</v>
      </c>
      <c r="E62" s="4" t="s">
        <v>9</v>
      </c>
      <c r="F62" s="5">
        <v>0.29166666666424135</v>
      </c>
      <c r="G62" s="5">
        <v>0.375</v>
      </c>
    </row>
    <row r="63">
      <c r="A63" s="2">
        <v>45927.38861241898</v>
      </c>
      <c r="B63" s="3">
        <v>45927.0</v>
      </c>
      <c r="C63" s="4" t="s">
        <v>32</v>
      </c>
      <c r="D63" s="4" t="s">
        <v>33</v>
      </c>
      <c r="E63" s="4" t="s">
        <v>9</v>
      </c>
      <c r="F63" s="5">
        <v>0.375</v>
      </c>
      <c r="G63" s="5">
        <v>0.45833333333575865</v>
      </c>
    </row>
    <row r="64">
      <c r="A64" s="2">
        <v>45927.390243182876</v>
      </c>
      <c r="B64" s="3">
        <v>45927.0</v>
      </c>
      <c r="C64" s="4" t="s">
        <v>40</v>
      </c>
      <c r="D64" s="4" t="s">
        <v>41</v>
      </c>
      <c r="E64" s="4" t="s">
        <v>9</v>
      </c>
      <c r="F64" s="5">
        <v>0.29166666666424135</v>
      </c>
      <c r="G64" s="5">
        <v>0.375</v>
      </c>
    </row>
    <row r="65">
      <c r="A65" s="2">
        <v>45927.44467024306</v>
      </c>
      <c r="B65" s="3">
        <v>45927.0</v>
      </c>
      <c r="C65" s="4" t="s">
        <v>38</v>
      </c>
      <c r="D65" s="4" t="s">
        <v>39</v>
      </c>
      <c r="E65" s="4" t="s">
        <v>9</v>
      </c>
      <c r="F65" s="5">
        <v>0.375</v>
      </c>
      <c r="G65" s="5">
        <v>0.45833333333575865</v>
      </c>
    </row>
    <row r="66">
      <c r="A66" s="2">
        <v>45927.446764259264</v>
      </c>
      <c r="B66" s="3">
        <v>45927.0</v>
      </c>
      <c r="C66" s="4" t="s">
        <v>34</v>
      </c>
      <c r="D66" s="4" t="s">
        <v>35</v>
      </c>
      <c r="E66" s="4" t="s">
        <v>9</v>
      </c>
      <c r="F66" s="5">
        <v>0.38541666666424135</v>
      </c>
      <c r="G66" s="5">
        <v>0.46527777778101154</v>
      </c>
    </row>
    <row r="67">
      <c r="A67" s="2">
        <v>45927.45229763888</v>
      </c>
      <c r="B67" s="3">
        <v>45924.0</v>
      </c>
      <c r="C67" s="4" t="s">
        <v>46</v>
      </c>
      <c r="D67" s="4" t="s">
        <v>26</v>
      </c>
      <c r="E67" s="4" t="s">
        <v>9</v>
      </c>
      <c r="F67" s="5">
        <v>0.6458333333357587</v>
      </c>
      <c r="G67" s="5">
        <v>0.7083333333357587</v>
      </c>
    </row>
    <row r="68">
      <c r="A68" s="2">
        <v>45927.46332131945</v>
      </c>
      <c r="B68" s="3">
        <v>45917.0</v>
      </c>
      <c r="C68" s="4" t="s">
        <v>29</v>
      </c>
      <c r="D68" s="4" t="s">
        <v>30</v>
      </c>
      <c r="E68" s="4" t="s">
        <v>9</v>
      </c>
      <c r="F68" s="5">
        <v>0.6458333333357587</v>
      </c>
      <c r="G68" s="5">
        <v>0.7083333333357587</v>
      </c>
    </row>
    <row r="69">
      <c r="A69" s="2">
        <v>45927.47703112269</v>
      </c>
      <c r="B69" s="3">
        <v>45927.0</v>
      </c>
      <c r="C69" s="4" t="s">
        <v>7</v>
      </c>
      <c r="D69" s="4" t="s">
        <v>8</v>
      </c>
      <c r="E69" s="4" t="s">
        <v>9</v>
      </c>
      <c r="F69" s="5">
        <v>0.3194444444452529</v>
      </c>
      <c r="G69" s="5">
        <v>0.39583333333575865</v>
      </c>
    </row>
    <row r="70">
      <c r="A70" s="2">
        <v>45927.480074293984</v>
      </c>
      <c r="B70" s="3">
        <v>45927.0</v>
      </c>
      <c r="C70" s="4" t="s">
        <v>17</v>
      </c>
      <c r="D70" s="4" t="s">
        <v>18</v>
      </c>
      <c r="E70" s="4" t="s">
        <v>9</v>
      </c>
      <c r="F70" s="5">
        <v>0.29861111110949423</v>
      </c>
      <c r="G70" s="5">
        <v>0.3819444444452529</v>
      </c>
    </row>
    <row r="71">
      <c r="A71" s="2">
        <v>45927.528860729166</v>
      </c>
      <c r="B71" s="3">
        <v>45927.0</v>
      </c>
      <c r="C71" s="4" t="s">
        <v>13</v>
      </c>
      <c r="D71" s="4" t="s">
        <v>14</v>
      </c>
      <c r="E71" s="4" t="s">
        <v>9</v>
      </c>
      <c r="F71" s="5">
        <v>0.4131944444452529</v>
      </c>
      <c r="G71" s="5">
        <v>0.5069444444452529</v>
      </c>
    </row>
    <row r="72">
      <c r="A72" s="2">
        <v>45927.63783994213</v>
      </c>
      <c r="B72" s="3">
        <v>45903.0</v>
      </c>
      <c r="C72" s="4" t="s">
        <v>10</v>
      </c>
      <c r="D72" s="4" t="s">
        <v>11</v>
      </c>
      <c r="E72" s="4" t="s">
        <v>9</v>
      </c>
      <c r="F72" s="5">
        <v>0.6458333333357587</v>
      </c>
      <c r="G72" s="5">
        <v>0.7083333333357587</v>
      </c>
    </row>
    <row r="73">
      <c r="A73" s="2">
        <v>45927.63819903936</v>
      </c>
      <c r="B73" s="3">
        <v>45910.0</v>
      </c>
      <c r="C73" s="4" t="s">
        <v>10</v>
      </c>
      <c r="D73" s="4" t="s">
        <v>11</v>
      </c>
      <c r="E73" s="4" t="s">
        <v>9</v>
      </c>
      <c r="F73" s="5">
        <v>0.6458333333357587</v>
      </c>
      <c r="G73" s="5">
        <v>0.7083333333357587</v>
      </c>
    </row>
    <row r="74">
      <c r="A74" s="2">
        <v>45927.63855820602</v>
      </c>
      <c r="B74" s="3">
        <v>45917.0</v>
      </c>
      <c r="C74" s="4" t="s">
        <v>10</v>
      </c>
      <c r="D74" s="4" t="s">
        <v>11</v>
      </c>
      <c r="E74" s="4" t="s">
        <v>9</v>
      </c>
      <c r="F74" s="5">
        <v>0.6458333333357587</v>
      </c>
      <c r="G74" s="5">
        <v>0.7083333333357587</v>
      </c>
    </row>
    <row r="75">
      <c r="A75" s="2">
        <v>45927.638902719904</v>
      </c>
      <c r="B75" s="3">
        <v>45924.0</v>
      </c>
      <c r="C75" s="4" t="s">
        <v>10</v>
      </c>
      <c r="D75" s="4" t="s">
        <v>11</v>
      </c>
      <c r="E75" s="4" t="s">
        <v>9</v>
      </c>
      <c r="F75" s="5">
        <v>0.6458333333357587</v>
      </c>
      <c r="G75" s="5">
        <v>0.7083333333357587</v>
      </c>
    </row>
    <row r="76">
      <c r="A76" s="2">
        <v>45929.39421021991</v>
      </c>
      <c r="B76" s="3">
        <v>45913.0</v>
      </c>
      <c r="C76" s="4" t="s">
        <v>44</v>
      </c>
      <c r="D76" s="4" t="s">
        <v>45</v>
      </c>
      <c r="E76" s="4" t="s">
        <v>9</v>
      </c>
      <c r="F76" s="5">
        <v>0.29166666666424135</v>
      </c>
      <c r="G76" s="5">
        <v>0.375</v>
      </c>
    </row>
    <row r="77">
      <c r="A77" s="2">
        <v>45931.67166986111</v>
      </c>
      <c r="B77" s="3">
        <v>45931.0</v>
      </c>
      <c r="C77" s="4" t="s">
        <v>15</v>
      </c>
      <c r="D77" s="4" t="s">
        <v>16</v>
      </c>
      <c r="E77" s="4" t="s">
        <v>47</v>
      </c>
      <c r="F77" s="5">
        <v>0.6666666666642413</v>
      </c>
      <c r="G77" s="5">
        <v>0.7083333333357587</v>
      </c>
    </row>
    <row r="78">
      <c r="A78" s="2">
        <v>45931.70977002315</v>
      </c>
      <c r="B78" s="3">
        <v>45931.0</v>
      </c>
      <c r="C78" s="4" t="s">
        <v>29</v>
      </c>
      <c r="D78" s="4" t="s">
        <v>30</v>
      </c>
      <c r="E78" s="4" t="s">
        <v>47</v>
      </c>
      <c r="F78" s="5">
        <v>0.6458333333357587</v>
      </c>
      <c r="G78" s="5">
        <v>0.7083333333357587</v>
      </c>
    </row>
    <row r="79">
      <c r="A79" s="2">
        <v>45931.71109931713</v>
      </c>
      <c r="B79" s="3">
        <v>45931.0</v>
      </c>
      <c r="C79" s="4" t="s">
        <v>27</v>
      </c>
      <c r="D79" s="4" t="s">
        <v>28</v>
      </c>
      <c r="E79" s="4" t="s">
        <v>47</v>
      </c>
      <c r="F79" s="5">
        <v>0.6458333333357587</v>
      </c>
      <c r="G79" s="5">
        <v>0.7083333333357587</v>
      </c>
    </row>
    <row r="80">
      <c r="A80" s="2">
        <v>45931.71473936342</v>
      </c>
      <c r="B80" s="3">
        <v>45931.0</v>
      </c>
      <c r="C80" s="4" t="s">
        <v>19</v>
      </c>
      <c r="D80" s="4" t="s">
        <v>20</v>
      </c>
      <c r="E80" s="4" t="s">
        <v>47</v>
      </c>
      <c r="F80" s="5">
        <v>0.6458333333357587</v>
      </c>
      <c r="G80" s="5">
        <v>0.7083333333357587</v>
      </c>
    </row>
    <row r="81">
      <c r="A81" s="2">
        <v>45931.715287175924</v>
      </c>
      <c r="B81" s="3">
        <v>45931.0</v>
      </c>
      <c r="C81" s="4" t="s">
        <v>10</v>
      </c>
      <c r="D81" s="4" t="s">
        <v>11</v>
      </c>
      <c r="E81" s="4" t="s">
        <v>47</v>
      </c>
      <c r="F81" s="5">
        <v>0.6458333333357587</v>
      </c>
      <c r="G81" s="5">
        <v>0.7083333333357587</v>
      </c>
    </row>
    <row r="82">
      <c r="A82" s="2">
        <v>45932.716490555555</v>
      </c>
      <c r="B82" s="3">
        <v>45932.0</v>
      </c>
      <c r="C82" s="4" t="s">
        <v>31</v>
      </c>
      <c r="D82" s="4" t="s">
        <v>24</v>
      </c>
      <c r="E82" s="4" t="s">
        <v>47</v>
      </c>
      <c r="F82" s="5">
        <v>0.6458333333357587</v>
      </c>
      <c r="G82" s="5">
        <v>0.7083333333357587</v>
      </c>
    </row>
    <row r="83">
      <c r="A83" s="2">
        <v>45934.35139726852</v>
      </c>
      <c r="B83" s="3">
        <v>45934.0</v>
      </c>
      <c r="C83" s="4" t="s">
        <v>7</v>
      </c>
      <c r="D83" s="4" t="s">
        <v>8</v>
      </c>
      <c r="E83" s="4" t="s">
        <v>47</v>
      </c>
      <c r="F83" s="5">
        <v>0.3125</v>
      </c>
      <c r="G83" s="5">
        <v>0.375</v>
      </c>
    </row>
    <row r="84">
      <c r="A84" s="2">
        <v>45934.373628761576</v>
      </c>
      <c r="B84" s="3">
        <v>45934.0</v>
      </c>
      <c r="C84" s="4" t="s">
        <v>44</v>
      </c>
      <c r="D84" s="4" t="s">
        <v>45</v>
      </c>
      <c r="E84" s="4" t="s">
        <v>47</v>
      </c>
      <c r="F84" s="5">
        <v>0.29166666666424135</v>
      </c>
      <c r="G84" s="5">
        <v>0.375</v>
      </c>
    </row>
    <row r="85">
      <c r="A85" s="2">
        <v>45934.41032668982</v>
      </c>
      <c r="B85" s="3">
        <v>45934.0</v>
      </c>
      <c r="C85" s="4" t="s">
        <v>32</v>
      </c>
      <c r="D85" s="4" t="s">
        <v>33</v>
      </c>
      <c r="E85" s="4" t="s">
        <v>47</v>
      </c>
      <c r="F85" s="5">
        <v>0.375</v>
      </c>
      <c r="G85" s="5">
        <v>0.45833333333575865</v>
      </c>
    </row>
    <row r="86">
      <c r="A86" s="2">
        <v>45934.42115505787</v>
      </c>
      <c r="B86" s="3">
        <v>45934.0</v>
      </c>
      <c r="C86" s="4" t="s">
        <v>34</v>
      </c>
      <c r="D86" s="4" t="s">
        <v>35</v>
      </c>
      <c r="E86" s="4" t="s">
        <v>47</v>
      </c>
      <c r="F86" s="5">
        <v>0.38888888889050577</v>
      </c>
      <c r="G86" s="5">
        <v>0.45833333333575865</v>
      </c>
    </row>
    <row r="87">
      <c r="A87" s="2">
        <v>45936.77977216435</v>
      </c>
      <c r="B87" s="3">
        <v>45936.0</v>
      </c>
      <c r="C87" s="4" t="s">
        <v>21</v>
      </c>
      <c r="D87" s="4" t="s">
        <v>22</v>
      </c>
      <c r="E87" s="4" t="s">
        <v>47</v>
      </c>
      <c r="F87" s="5">
        <v>0.7152777777810115</v>
      </c>
      <c r="G87" s="5">
        <v>0.75</v>
      </c>
    </row>
    <row r="88">
      <c r="A88" s="2">
        <v>45938.683977256944</v>
      </c>
      <c r="B88" s="3">
        <v>45938.0</v>
      </c>
      <c r="C88" s="4" t="s">
        <v>46</v>
      </c>
      <c r="D88" s="4" t="s">
        <v>26</v>
      </c>
      <c r="E88" s="4" t="s">
        <v>47</v>
      </c>
      <c r="F88" s="5">
        <v>0.6458333333357587</v>
      </c>
      <c r="G88" s="5">
        <v>0.7083333333357587</v>
      </c>
    </row>
    <row r="89">
      <c r="A89" s="2">
        <v>45938.68435384259</v>
      </c>
      <c r="B89" s="3">
        <v>45938.0</v>
      </c>
      <c r="C89" s="4" t="s">
        <v>25</v>
      </c>
      <c r="D89" s="4" t="s">
        <v>26</v>
      </c>
      <c r="E89" s="4" t="s">
        <v>47</v>
      </c>
      <c r="F89" s="5">
        <v>0.6458333333357587</v>
      </c>
      <c r="G89" s="5">
        <v>0.7083333333357587</v>
      </c>
    </row>
    <row r="90">
      <c r="A90" s="2">
        <v>45938.6856540625</v>
      </c>
      <c r="B90" s="3">
        <v>45938.0</v>
      </c>
      <c r="C90" s="4" t="s">
        <v>10</v>
      </c>
      <c r="D90" s="4" t="s">
        <v>11</v>
      </c>
      <c r="E90" s="4" t="s">
        <v>47</v>
      </c>
      <c r="F90" s="5">
        <v>0.6458333333357587</v>
      </c>
      <c r="G90" s="5">
        <v>0.7083333333357587</v>
      </c>
    </row>
    <row r="91">
      <c r="A91" s="2">
        <v>45938.70606921296</v>
      </c>
      <c r="B91" s="3">
        <v>45938.0</v>
      </c>
      <c r="C91" s="4" t="s">
        <v>19</v>
      </c>
      <c r="D91" s="4" t="s">
        <v>20</v>
      </c>
      <c r="E91" s="4" t="s">
        <v>47</v>
      </c>
      <c r="F91" s="5">
        <v>0.6458333333357587</v>
      </c>
      <c r="G91" s="5">
        <v>0.7083333333357587</v>
      </c>
    </row>
    <row r="92">
      <c r="A92" s="2">
        <v>45938.711011493055</v>
      </c>
      <c r="B92" s="3">
        <v>45938.0</v>
      </c>
      <c r="C92" s="4" t="s">
        <v>15</v>
      </c>
      <c r="D92" s="4" t="s">
        <v>16</v>
      </c>
      <c r="E92" s="4" t="s">
        <v>47</v>
      </c>
      <c r="F92" s="5">
        <v>0.6666666666642413</v>
      </c>
      <c r="G92" s="5">
        <v>0.7083333333357587</v>
      </c>
    </row>
    <row r="93">
      <c r="A93" s="2">
        <v>45938.72027655093</v>
      </c>
      <c r="B93" s="3">
        <v>45938.0</v>
      </c>
      <c r="C93" s="4" t="s">
        <v>27</v>
      </c>
      <c r="D93" s="4" t="s">
        <v>28</v>
      </c>
      <c r="E93" s="4" t="s">
        <v>47</v>
      </c>
      <c r="F93" s="5">
        <v>0.6458333333357587</v>
      </c>
      <c r="G93" s="5">
        <v>0.7083333333357587</v>
      </c>
    </row>
    <row r="94">
      <c r="A94" s="2">
        <v>45938.77338543981</v>
      </c>
      <c r="B94" s="3">
        <v>45938.0</v>
      </c>
      <c r="C94" s="4" t="s">
        <v>29</v>
      </c>
      <c r="D94" s="4" t="s">
        <v>30</v>
      </c>
      <c r="E94" s="4" t="s">
        <v>47</v>
      </c>
      <c r="F94" s="5">
        <v>0.6458333333357587</v>
      </c>
      <c r="G94" s="5">
        <v>0.7083333333357587</v>
      </c>
    </row>
    <row r="95">
      <c r="A95" s="2">
        <v>45939.869222650465</v>
      </c>
      <c r="B95" s="3">
        <v>45939.0</v>
      </c>
      <c r="C95" s="4" t="s">
        <v>31</v>
      </c>
      <c r="D95" s="4" t="s">
        <v>24</v>
      </c>
      <c r="E95" s="4" t="s">
        <v>47</v>
      </c>
      <c r="F95" s="5">
        <v>0.6458333333357587</v>
      </c>
      <c r="G95" s="5">
        <v>0.7083333333357587</v>
      </c>
    </row>
    <row r="96">
      <c r="A96" s="2">
        <v>45941.4221134375</v>
      </c>
      <c r="B96" s="3">
        <v>45941.0</v>
      </c>
      <c r="C96" s="4" t="s">
        <v>38</v>
      </c>
      <c r="D96" s="4" t="s">
        <v>39</v>
      </c>
      <c r="E96" s="4" t="s">
        <v>47</v>
      </c>
      <c r="F96" s="5">
        <v>0.375</v>
      </c>
      <c r="G96" s="5">
        <v>0.45833333333575865</v>
      </c>
    </row>
    <row r="97">
      <c r="A97" s="2">
        <v>45941.422487372685</v>
      </c>
      <c r="B97" s="3">
        <v>45941.0</v>
      </c>
      <c r="C97" s="4" t="s">
        <v>38</v>
      </c>
      <c r="D97" s="4" t="s">
        <v>39</v>
      </c>
      <c r="E97" s="4" t="s">
        <v>47</v>
      </c>
      <c r="F97" s="5">
        <v>0.375</v>
      </c>
      <c r="G97" s="5">
        <v>0.45833333333575865</v>
      </c>
    </row>
    <row r="98">
      <c r="A98" s="2">
        <v>45941.55707890046</v>
      </c>
      <c r="B98" s="3">
        <v>45941.0</v>
      </c>
      <c r="C98" s="4" t="s">
        <v>40</v>
      </c>
      <c r="D98" s="4" t="s">
        <v>41</v>
      </c>
      <c r="E98" s="4" t="s">
        <v>47</v>
      </c>
      <c r="F98" s="5">
        <v>0.29166666666424135</v>
      </c>
      <c r="G98" s="5">
        <v>0.375</v>
      </c>
    </row>
    <row r="99">
      <c r="A99" s="2">
        <v>45941.595824641205</v>
      </c>
      <c r="B99" s="3">
        <v>45941.0</v>
      </c>
      <c r="C99" s="4" t="s">
        <v>17</v>
      </c>
      <c r="D99" s="4" t="s">
        <v>18</v>
      </c>
      <c r="E99" s="4" t="s">
        <v>47</v>
      </c>
      <c r="F99" s="5">
        <v>0.29861111110949423</v>
      </c>
      <c r="G99" s="5">
        <v>0.3819444444452529</v>
      </c>
    </row>
    <row r="100">
      <c r="A100" s="2">
        <v>45943.82776728009</v>
      </c>
      <c r="B100" s="3">
        <v>45943.0</v>
      </c>
      <c r="C100" s="4" t="s">
        <v>21</v>
      </c>
      <c r="D100" s="4" t="s">
        <v>22</v>
      </c>
      <c r="E100" s="4" t="s">
        <v>47</v>
      </c>
      <c r="F100" s="5">
        <v>0.7222222222189885</v>
      </c>
      <c r="G100" s="5">
        <v>0.75</v>
      </c>
    </row>
    <row r="101">
      <c r="A101" s="2">
        <v>45945.67063946759</v>
      </c>
      <c r="B101" s="3">
        <v>45945.0</v>
      </c>
      <c r="C101" s="4" t="s">
        <v>19</v>
      </c>
      <c r="D101" s="4" t="s">
        <v>20</v>
      </c>
      <c r="E101" s="4" t="s">
        <v>47</v>
      </c>
      <c r="F101" s="5">
        <v>0.6458333333357587</v>
      </c>
      <c r="G101" s="5">
        <v>0.7083333333357587</v>
      </c>
    </row>
    <row r="102">
      <c r="A102" s="2">
        <v>45945.701735509254</v>
      </c>
      <c r="B102" s="3">
        <v>45945.0</v>
      </c>
      <c r="C102" s="4" t="s">
        <v>29</v>
      </c>
      <c r="D102" s="4" t="s">
        <v>30</v>
      </c>
      <c r="E102" s="4" t="s">
        <v>47</v>
      </c>
      <c r="F102" s="5">
        <v>0.6458333333357587</v>
      </c>
      <c r="G102" s="5">
        <v>0.7083333333357587</v>
      </c>
    </row>
    <row r="103">
      <c r="A103" s="2">
        <v>45945.75266615741</v>
      </c>
      <c r="B103" s="3">
        <v>45945.0</v>
      </c>
      <c r="C103" s="4" t="s">
        <v>27</v>
      </c>
      <c r="D103" s="4" t="s">
        <v>28</v>
      </c>
      <c r="E103" s="4" t="s">
        <v>47</v>
      </c>
      <c r="F103" s="5">
        <v>0.16666666666424135</v>
      </c>
      <c r="G103" s="5">
        <v>0.19791666666424135</v>
      </c>
    </row>
    <row r="104">
      <c r="A104" s="2">
        <v>45945.78778943287</v>
      </c>
      <c r="B104" s="3">
        <v>45945.0</v>
      </c>
      <c r="C104" s="4" t="s">
        <v>10</v>
      </c>
      <c r="D104" s="4" t="s">
        <v>11</v>
      </c>
      <c r="E104" s="4" t="s">
        <v>47</v>
      </c>
      <c r="F104" s="5">
        <v>0.6458333333357587</v>
      </c>
      <c r="G104" s="5">
        <v>0.7083333333357587</v>
      </c>
    </row>
    <row r="105">
      <c r="A105" s="2">
        <v>45946.19173057871</v>
      </c>
      <c r="B105" s="3">
        <v>45945.0</v>
      </c>
      <c r="C105" s="4" t="s">
        <v>46</v>
      </c>
      <c r="D105" s="4" t="s">
        <v>26</v>
      </c>
      <c r="E105" s="4" t="s">
        <v>47</v>
      </c>
      <c r="F105" s="5">
        <v>0.6458333333357587</v>
      </c>
      <c r="G105" s="5">
        <v>0.7083333333357587</v>
      </c>
    </row>
    <row r="106">
      <c r="A106" s="2">
        <v>45946.19199760417</v>
      </c>
      <c r="B106" s="3">
        <v>45945.0</v>
      </c>
      <c r="C106" s="4" t="s">
        <v>25</v>
      </c>
      <c r="D106" s="4" t="s">
        <v>26</v>
      </c>
      <c r="E106" s="4" t="s">
        <v>47</v>
      </c>
      <c r="F106" s="5">
        <v>0.6458333333357587</v>
      </c>
      <c r="G106" s="5">
        <v>0.7083333333357587</v>
      </c>
    </row>
    <row r="107">
      <c r="A107" s="2">
        <v>45946.69980510417</v>
      </c>
      <c r="B107" s="3">
        <v>45946.0</v>
      </c>
      <c r="C107" s="4" t="s">
        <v>31</v>
      </c>
      <c r="D107" s="4" t="s">
        <v>24</v>
      </c>
      <c r="E107" s="4" t="s">
        <v>47</v>
      </c>
      <c r="F107" s="5">
        <v>0.6458333333357587</v>
      </c>
      <c r="G107" s="5">
        <v>0.7083333333357587</v>
      </c>
    </row>
    <row r="108">
      <c r="A108" s="2">
        <v>45948.36645392361</v>
      </c>
      <c r="B108" s="3">
        <v>45948.0</v>
      </c>
      <c r="C108" s="4" t="s">
        <v>44</v>
      </c>
      <c r="D108" s="4" t="s">
        <v>45</v>
      </c>
      <c r="E108" s="4" t="s">
        <v>47</v>
      </c>
      <c r="F108" s="5">
        <v>0.29166666666424135</v>
      </c>
      <c r="G108" s="5">
        <v>0.375</v>
      </c>
    </row>
    <row r="109">
      <c r="A109" s="2">
        <v>45948.36958079861</v>
      </c>
      <c r="B109" s="3">
        <v>45948.0</v>
      </c>
      <c r="C109" s="4" t="s">
        <v>40</v>
      </c>
      <c r="D109" s="4" t="s">
        <v>41</v>
      </c>
      <c r="E109" s="4" t="s">
        <v>47</v>
      </c>
      <c r="F109" s="5">
        <v>0.29166666666424135</v>
      </c>
      <c r="G109" s="5">
        <v>0.375</v>
      </c>
    </row>
    <row r="110">
      <c r="A110" s="2">
        <v>45948.409423125</v>
      </c>
      <c r="B110" s="3">
        <v>45948.0</v>
      </c>
      <c r="C110" s="4" t="s">
        <v>38</v>
      </c>
      <c r="D110" s="4" t="s">
        <v>39</v>
      </c>
      <c r="E110" s="4" t="s">
        <v>47</v>
      </c>
      <c r="F110" s="5">
        <v>0.375</v>
      </c>
      <c r="G110" s="5">
        <v>0.45833333333575865</v>
      </c>
    </row>
    <row r="111">
      <c r="A111" s="2">
        <v>45948.427778680554</v>
      </c>
      <c r="B111" s="3">
        <v>45948.0</v>
      </c>
      <c r="C111" s="4" t="s">
        <v>32</v>
      </c>
      <c r="D111" s="4" t="s">
        <v>33</v>
      </c>
      <c r="E111" s="4" t="s">
        <v>47</v>
      </c>
      <c r="F111" s="5">
        <v>0.375</v>
      </c>
      <c r="G111" s="5">
        <v>0.45833333333575865</v>
      </c>
    </row>
    <row r="112">
      <c r="A112" s="2">
        <v>45948.44935422453</v>
      </c>
      <c r="B112" s="3">
        <v>45948.0</v>
      </c>
      <c r="C112" s="4" t="s">
        <v>7</v>
      </c>
      <c r="D112" s="4" t="s">
        <v>8</v>
      </c>
      <c r="E112" s="4" t="s">
        <v>47</v>
      </c>
      <c r="F112" s="5">
        <v>0.3125</v>
      </c>
      <c r="G112" s="5">
        <v>0.375</v>
      </c>
    </row>
    <row r="113">
      <c r="A113" s="2">
        <v>45948.97902644676</v>
      </c>
      <c r="B113" s="3">
        <v>45948.0</v>
      </c>
      <c r="C113" s="4" t="s">
        <v>17</v>
      </c>
      <c r="D113" s="4" t="s">
        <v>18</v>
      </c>
      <c r="E113" s="4" t="s">
        <v>47</v>
      </c>
      <c r="F113" s="5">
        <v>0.29861111110949423</v>
      </c>
      <c r="G113" s="5">
        <v>0.3819444444452529</v>
      </c>
    </row>
    <row r="114">
      <c r="A114" s="2">
        <v>45952.690721377316</v>
      </c>
      <c r="B114" s="3">
        <v>45952.0</v>
      </c>
      <c r="C114" s="4" t="s">
        <v>10</v>
      </c>
      <c r="D114" s="4" t="s">
        <v>11</v>
      </c>
      <c r="E114" s="4" t="s">
        <v>47</v>
      </c>
      <c r="F114" s="5">
        <v>0.6458333333357587</v>
      </c>
      <c r="G114" s="5">
        <v>0.7083333333357587</v>
      </c>
    </row>
    <row r="115">
      <c r="A115" s="2">
        <v>45952.70603210648</v>
      </c>
      <c r="B115" s="3">
        <v>45952.0</v>
      </c>
      <c r="C115" s="4" t="s">
        <v>29</v>
      </c>
      <c r="D115" s="4" t="s">
        <v>30</v>
      </c>
      <c r="E115" s="4" t="s">
        <v>47</v>
      </c>
      <c r="F115" s="5">
        <v>0.6458333333357587</v>
      </c>
      <c r="G115" s="5">
        <v>0.7083333333357587</v>
      </c>
    </row>
    <row r="116">
      <c r="A116" s="2">
        <v>45953.86759934028</v>
      </c>
      <c r="B116" s="3">
        <v>45953.0</v>
      </c>
      <c r="C116" s="4" t="s">
        <v>31</v>
      </c>
      <c r="D116" s="4" t="s">
        <v>24</v>
      </c>
      <c r="E116" s="4" t="s">
        <v>47</v>
      </c>
      <c r="F116" s="5">
        <v>0.6458333333357587</v>
      </c>
      <c r="G116" s="5">
        <v>0.7083333333357587</v>
      </c>
    </row>
    <row r="117">
      <c r="A117" s="2">
        <v>45955.357936134256</v>
      </c>
      <c r="B117" s="3">
        <v>45948.0</v>
      </c>
      <c r="C117" s="4" t="s">
        <v>36</v>
      </c>
      <c r="D117" s="4" t="s">
        <v>37</v>
      </c>
      <c r="E117" s="4" t="s">
        <v>47</v>
      </c>
      <c r="F117" s="5">
        <v>0.33333333333575865</v>
      </c>
      <c r="G117" s="5">
        <v>0.41666666666424135</v>
      </c>
    </row>
    <row r="118">
      <c r="A118" s="2">
        <v>45955.3582957176</v>
      </c>
      <c r="B118" s="3">
        <v>45941.0</v>
      </c>
      <c r="C118" s="4" t="s">
        <v>36</v>
      </c>
      <c r="D118" s="4" t="s">
        <v>37</v>
      </c>
      <c r="E118" s="4" t="s">
        <v>47</v>
      </c>
      <c r="F118" s="5">
        <v>0.33333333333575865</v>
      </c>
      <c r="G118" s="5">
        <v>0.41666666666424135</v>
      </c>
    </row>
    <row r="119">
      <c r="A119" s="2">
        <v>45955.358857604166</v>
      </c>
      <c r="B119" s="3">
        <v>45955.0</v>
      </c>
      <c r="C119" s="4" t="s">
        <v>36</v>
      </c>
      <c r="D119" s="4" t="s">
        <v>37</v>
      </c>
      <c r="E119" s="4" t="s">
        <v>47</v>
      </c>
      <c r="F119" s="5">
        <v>0.33333333333575865</v>
      </c>
      <c r="G119" s="5">
        <v>0.41666666666424135</v>
      </c>
    </row>
    <row r="120">
      <c r="A120" s="2">
        <v>45955.38718990741</v>
      </c>
      <c r="B120" s="3">
        <v>45955.0</v>
      </c>
      <c r="C120" s="4" t="s">
        <v>7</v>
      </c>
      <c r="D120" s="4" t="s">
        <v>8</v>
      </c>
      <c r="E120" s="4" t="s">
        <v>47</v>
      </c>
      <c r="F120" s="5">
        <v>0.3194444444452529</v>
      </c>
      <c r="G120" s="5">
        <v>0.38541666666424135</v>
      </c>
    </row>
    <row r="121">
      <c r="A121" s="2">
        <v>45955.395598958334</v>
      </c>
      <c r="B121" s="3">
        <v>45955.0</v>
      </c>
      <c r="C121" s="4" t="s">
        <v>32</v>
      </c>
      <c r="D121" s="4" t="s">
        <v>33</v>
      </c>
      <c r="E121" s="4" t="s">
        <v>47</v>
      </c>
      <c r="F121" s="5">
        <v>0.375</v>
      </c>
      <c r="G121" s="5">
        <v>0.45833333333575865</v>
      </c>
    </row>
    <row r="122">
      <c r="A122" s="2">
        <v>45955.46462162037</v>
      </c>
      <c r="B122" s="3">
        <v>45955.0</v>
      </c>
      <c r="C122" s="4" t="s">
        <v>38</v>
      </c>
      <c r="D122" s="4" t="s">
        <v>39</v>
      </c>
      <c r="E122" s="4" t="s">
        <v>47</v>
      </c>
      <c r="F122" s="5">
        <v>0.375</v>
      </c>
      <c r="G122" s="5">
        <v>0.41666666666424135</v>
      </c>
    </row>
    <row r="123">
      <c r="A123" s="2">
        <v>45955.47937256945</v>
      </c>
      <c r="B123" s="3">
        <v>45955.0</v>
      </c>
      <c r="C123" s="4" t="s">
        <v>40</v>
      </c>
      <c r="D123" s="4" t="s">
        <v>41</v>
      </c>
      <c r="E123" s="4" t="s">
        <v>47</v>
      </c>
      <c r="F123" s="5">
        <v>0.29166666666424135</v>
      </c>
      <c r="G123" s="5">
        <v>0.375</v>
      </c>
    </row>
    <row r="124">
      <c r="A124" s="2">
        <v>45955.50083506944</v>
      </c>
      <c r="B124" s="3">
        <v>45955.0</v>
      </c>
      <c r="C124" s="4" t="s">
        <v>27</v>
      </c>
      <c r="D124" s="4" t="s">
        <v>28</v>
      </c>
      <c r="E124" s="4" t="s">
        <v>47</v>
      </c>
      <c r="F124" s="5">
        <v>0.4305555555547471</v>
      </c>
      <c r="G124" s="5">
        <v>0.47916666666424135</v>
      </c>
    </row>
    <row r="125">
      <c r="A125" s="2">
        <v>45956.482374733794</v>
      </c>
      <c r="B125" s="3">
        <v>45956.0</v>
      </c>
      <c r="C125" s="4" t="s">
        <v>27</v>
      </c>
      <c r="D125" s="4" t="s">
        <v>28</v>
      </c>
      <c r="E125" s="4" t="s">
        <v>47</v>
      </c>
      <c r="F125" s="5">
        <v>0.4305555555547471</v>
      </c>
      <c r="G125" s="5">
        <v>0.47916666666424135</v>
      </c>
    </row>
    <row r="126">
      <c r="A126" s="2">
        <v>45958.43234410879</v>
      </c>
      <c r="B126" s="3">
        <v>45957.0</v>
      </c>
      <c r="C126" s="4" t="s">
        <v>21</v>
      </c>
      <c r="D126" s="4" t="s">
        <v>22</v>
      </c>
      <c r="E126" s="4" t="s">
        <v>47</v>
      </c>
      <c r="F126" s="5">
        <v>0.7152777777810115</v>
      </c>
      <c r="G126" s="5">
        <v>0.75</v>
      </c>
    </row>
    <row r="127">
      <c r="A127" s="2">
        <v>45959.68567568287</v>
      </c>
      <c r="B127" s="3">
        <v>45955.0</v>
      </c>
      <c r="C127" s="4" t="s">
        <v>17</v>
      </c>
      <c r="D127" s="4" t="s">
        <v>18</v>
      </c>
      <c r="E127" s="4" t="s">
        <v>47</v>
      </c>
      <c r="F127" s="5">
        <v>0.29861111110949423</v>
      </c>
      <c r="G127" s="5">
        <v>0.3819444444452529</v>
      </c>
    </row>
    <row r="128">
      <c r="A128" s="2">
        <v>45959.69798106482</v>
      </c>
      <c r="B128" s="3">
        <v>45959.0</v>
      </c>
      <c r="C128" s="4" t="s">
        <v>19</v>
      </c>
      <c r="D128" s="4" t="s">
        <v>20</v>
      </c>
      <c r="E128" s="4" t="s">
        <v>47</v>
      </c>
      <c r="F128" s="5">
        <v>0.6458333333357587</v>
      </c>
      <c r="G128" s="5">
        <v>0.7083333333357587</v>
      </c>
    </row>
    <row r="129">
      <c r="A129" s="2">
        <v>45959.704910960645</v>
      </c>
      <c r="B129" s="3">
        <v>45959.0</v>
      </c>
      <c r="C129" s="4" t="s">
        <v>27</v>
      </c>
      <c r="D129" s="4" t="s">
        <v>28</v>
      </c>
      <c r="E129" s="4" t="s">
        <v>47</v>
      </c>
      <c r="F129" s="5">
        <v>0.6458333333357587</v>
      </c>
      <c r="G129" s="5">
        <v>0.7083333333357587</v>
      </c>
    </row>
    <row r="130">
      <c r="A130" s="2">
        <v>45959.70617143519</v>
      </c>
      <c r="B130" s="3">
        <v>45959.0</v>
      </c>
      <c r="C130" s="4" t="s">
        <v>29</v>
      </c>
      <c r="D130" s="4" t="s">
        <v>30</v>
      </c>
      <c r="E130" s="4" t="s">
        <v>47</v>
      </c>
      <c r="F130" s="5">
        <v>0.6458333333357587</v>
      </c>
      <c r="G130" s="5">
        <v>0.7083333333357587</v>
      </c>
    </row>
    <row r="131">
      <c r="A131" s="2">
        <v>45961.46262237268</v>
      </c>
      <c r="B131" s="3">
        <v>45960.0</v>
      </c>
      <c r="C131" s="4" t="s">
        <v>31</v>
      </c>
      <c r="D131" s="4" t="s">
        <v>24</v>
      </c>
      <c r="E131" s="4" t="s">
        <v>47</v>
      </c>
      <c r="F131" s="5">
        <v>0.6458333333357587</v>
      </c>
      <c r="G131" s="5">
        <v>0.7083333333357587</v>
      </c>
    </row>
    <row r="132">
      <c r="A132" s="2">
        <v>45962.40506608796</v>
      </c>
      <c r="B132" s="3">
        <v>45962.0</v>
      </c>
      <c r="C132" s="4" t="s">
        <v>32</v>
      </c>
      <c r="D132" s="4" t="s">
        <v>33</v>
      </c>
      <c r="E132" s="4" t="s">
        <v>48</v>
      </c>
      <c r="F132" s="5">
        <v>0.375</v>
      </c>
      <c r="G132" s="5">
        <v>0.45833333333575865</v>
      </c>
    </row>
    <row r="133">
      <c r="A133" s="2">
        <v>45962.77029601852</v>
      </c>
      <c r="B133" s="3">
        <v>45962.0</v>
      </c>
      <c r="C133" s="4" t="s">
        <v>7</v>
      </c>
      <c r="D133" s="4" t="s">
        <v>8</v>
      </c>
      <c r="E133" s="4" t="s">
        <v>48</v>
      </c>
      <c r="F133" s="5">
        <v>0.3125</v>
      </c>
      <c r="G133" s="5">
        <v>0.375</v>
      </c>
    </row>
    <row r="134">
      <c r="A134" s="2">
        <v>45962.95081707176</v>
      </c>
      <c r="B134" s="3">
        <v>45959.0</v>
      </c>
      <c r="C134" s="4" t="s">
        <v>46</v>
      </c>
      <c r="D134" s="4" t="s">
        <v>26</v>
      </c>
      <c r="E134" s="4" t="s">
        <v>47</v>
      </c>
      <c r="F134" s="5">
        <v>0.6458333333357587</v>
      </c>
      <c r="G134" s="5">
        <v>0.7083333333357587</v>
      </c>
    </row>
    <row r="135">
      <c r="A135" s="2">
        <v>45966.68780714121</v>
      </c>
      <c r="B135" s="3">
        <v>45966.0</v>
      </c>
      <c r="C135" s="4" t="s">
        <v>15</v>
      </c>
      <c r="D135" s="4" t="s">
        <v>16</v>
      </c>
      <c r="E135" s="4" t="s">
        <v>48</v>
      </c>
      <c r="F135" s="5">
        <v>0.6666666666642413</v>
      </c>
      <c r="G135" s="5">
        <v>0.7083333333357587</v>
      </c>
    </row>
    <row r="136">
      <c r="A136" s="2">
        <v>45966.70784642361</v>
      </c>
      <c r="B136" s="3">
        <v>45966.0</v>
      </c>
      <c r="C136" s="4" t="s">
        <v>29</v>
      </c>
      <c r="D136" s="4" t="s">
        <v>30</v>
      </c>
      <c r="E136" s="4" t="s">
        <v>48</v>
      </c>
      <c r="F136" s="5">
        <v>0.6458333333357587</v>
      </c>
      <c r="G136" s="5">
        <v>0.7083333333357587</v>
      </c>
    </row>
    <row r="137">
      <c r="A137" s="2">
        <v>45966.70979579861</v>
      </c>
      <c r="B137" s="3">
        <v>45966.0</v>
      </c>
      <c r="C137" s="4" t="s">
        <v>27</v>
      </c>
      <c r="D137" s="4" t="s">
        <v>28</v>
      </c>
      <c r="E137" s="4" t="s">
        <v>48</v>
      </c>
      <c r="F137" s="5">
        <v>0.6458333333357587</v>
      </c>
      <c r="G137" s="5">
        <v>0.7083333333357587</v>
      </c>
    </row>
    <row r="138">
      <c r="A138" s="2">
        <v>45966.71285211806</v>
      </c>
      <c r="B138" s="3">
        <v>45966.0</v>
      </c>
      <c r="C138" s="4" t="s">
        <v>10</v>
      </c>
      <c r="D138" s="4" t="s">
        <v>11</v>
      </c>
      <c r="E138" s="4" t="s">
        <v>48</v>
      </c>
      <c r="F138" s="5">
        <v>0.6458333333357587</v>
      </c>
      <c r="G138" s="5">
        <v>0.7083333333357587</v>
      </c>
    </row>
    <row r="139">
      <c r="A139" s="2">
        <v>45966.859480011575</v>
      </c>
      <c r="B139" s="3">
        <v>45966.0</v>
      </c>
      <c r="C139" s="4" t="s">
        <v>19</v>
      </c>
      <c r="D139" s="4" t="s">
        <v>20</v>
      </c>
      <c r="E139" s="4" t="s">
        <v>48</v>
      </c>
      <c r="F139" s="5">
        <v>0.65625</v>
      </c>
      <c r="G139" s="5">
        <v>0.7083333333357587</v>
      </c>
    </row>
    <row r="140">
      <c r="A140" s="2">
        <v>45967.25433744213</v>
      </c>
      <c r="B140" s="3">
        <v>45966.0</v>
      </c>
      <c r="C140" s="4" t="s">
        <v>46</v>
      </c>
      <c r="D140" s="4" t="s">
        <v>26</v>
      </c>
      <c r="E140" s="4" t="s">
        <v>48</v>
      </c>
      <c r="F140" s="5">
        <v>0.6458333333357587</v>
      </c>
      <c r="G140" s="5">
        <v>0.7083333333357587</v>
      </c>
    </row>
    <row r="141">
      <c r="A141" s="2">
        <v>45967.25462368055</v>
      </c>
      <c r="B141" s="3">
        <v>45966.0</v>
      </c>
      <c r="C141" s="4" t="s">
        <v>25</v>
      </c>
      <c r="D141" s="4" t="s">
        <v>26</v>
      </c>
      <c r="E141" s="4" t="s">
        <v>48</v>
      </c>
      <c r="F141" s="5">
        <v>0.6458333333357587</v>
      </c>
      <c r="G141" s="5">
        <v>0.7083333333357587</v>
      </c>
    </row>
    <row r="142">
      <c r="A142" s="2">
        <v>45967.70506325232</v>
      </c>
      <c r="B142" s="3">
        <v>45967.0</v>
      </c>
      <c r="C142" s="4" t="s">
        <v>31</v>
      </c>
      <c r="D142" s="4" t="s">
        <v>24</v>
      </c>
      <c r="E142" s="4" t="s">
        <v>48</v>
      </c>
      <c r="F142" s="5">
        <v>0.6458333333357587</v>
      </c>
      <c r="G142" s="5">
        <v>0.7083333333357587</v>
      </c>
    </row>
    <row r="143">
      <c r="A143" s="2">
        <v>45969.3642728125</v>
      </c>
      <c r="B143" s="3">
        <v>45969.0</v>
      </c>
      <c r="C143" s="4" t="s">
        <v>36</v>
      </c>
      <c r="D143" s="4" t="s">
        <v>37</v>
      </c>
      <c r="E143" s="4" t="s">
        <v>48</v>
      </c>
      <c r="F143" s="5">
        <v>0.33333333333575865</v>
      </c>
      <c r="G143" s="5">
        <v>0.41666666666424135</v>
      </c>
    </row>
    <row r="144">
      <c r="A144" s="2">
        <v>45969.444837939816</v>
      </c>
      <c r="B144" s="3">
        <v>45969.0</v>
      </c>
      <c r="C144" s="4" t="s">
        <v>38</v>
      </c>
      <c r="D144" s="4" t="s">
        <v>39</v>
      </c>
      <c r="E144" s="4" t="s">
        <v>48</v>
      </c>
      <c r="F144" s="5">
        <v>0.375</v>
      </c>
      <c r="G144" s="5">
        <v>0.45833333333575865</v>
      </c>
    </row>
    <row r="145">
      <c r="A145" s="2">
        <v>45969.46152328704</v>
      </c>
      <c r="B145" s="3">
        <v>45969.0</v>
      </c>
      <c r="C145" s="4" t="s">
        <v>17</v>
      </c>
      <c r="D145" s="4" t="s">
        <v>18</v>
      </c>
      <c r="E145" s="4" t="s">
        <v>48</v>
      </c>
      <c r="F145" s="5">
        <v>0.29861111110949423</v>
      </c>
      <c r="G145" s="5">
        <v>0.3819444444452529</v>
      </c>
    </row>
    <row r="146">
      <c r="A146" s="2">
        <v>45969.48331333333</v>
      </c>
      <c r="B146" s="3">
        <v>45969.0</v>
      </c>
      <c r="C146" s="4" t="s">
        <v>27</v>
      </c>
      <c r="D146" s="4" t="s">
        <v>28</v>
      </c>
      <c r="E146" s="4" t="s">
        <v>48</v>
      </c>
      <c r="F146" s="5">
        <v>0.4305555555547471</v>
      </c>
      <c r="G146" s="5">
        <v>0.47916666666424135</v>
      </c>
    </row>
    <row r="147">
      <c r="A147" s="2">
        <v>45969.49059659722</v>
      </c>
      <c r="B147" s="3">
        <v>45969.0</v>
      </c>
      <c r="C147" s="4" t="s">
        <v>40</v>
      </c>
      <c r="D147" s="4" t="s">
        <v>41</v>
      </c>
      <c r="E147" s="4" t="s">
        <v>48</v>
      </c>
      <c r="F147" s="5">
        <v>0.3125</v>
      </c>
      <c r="G147" s="5">
        <v>0.39583333333575865</v>
      </c>
    </row>
    <row r="148">
      <c r="A148" s="2">
        <v>45970.46256212963</v>
      </c>
      <c r="B148" s="3">
        <v>45970.0</v>
      </c>
      <c r="C148" s="4" t="s">
        <v>27</v>
      </c>
      <c r="D148" s="4" t="s">
        <v>28</v>
      </c>
      <c r="E148" s="4" t="s">
        <v>48</v>
      </c>
      <c r="F148" s="5">
        <v>0.4305555555547471</v>
      </c>
      <c r="G148" s="5">
        <v>0.47916666666424135</v>
      </c>
    </row>
    <row r="149">
      <c r="A149" s="2">
        <v>45973.702980601855</v>
      </c>
      <c r="B149" s="3">
        <v>45973.0</v>
      </c>
      <c r="C149" s="4" t="s">
        <v>27</v>
      </c>
      <c r="D149" s="4" t="s">
        <v>28</v>
      </c>
      <c r="E149" s="4" t="s">
        <v>48</v>
      </c>
      <c r="F149" s="5">
        <v>0.6458333333357587</v>
      </c>
      <c r="G149" s="5">
        <v>0.7083333333357587</v>
      </c>
    </row>
    <row r="150">
      <c r="A150" s="2">
        <v>45973.737480185184</v>
      </c>
      <c r="B150" s="3">
        <v>45973.0</v>
      </c>
      <c r="C150" s="4" t="s">
        <v>15</v>
      </c>
      <c r="D150" s="4" t="s">
        <v>16</v>
      </c>
      <c r="E150" s="4" t="s">
        <v>48</v>
      </c>
      <c r="F150" s="5">
        <v>0.6666666666642413</v>
      </c>
      <c r="G150" s="5">
        <v>0.7083333333357587</v>
      </c>
    </row>
    <row r="151">
      <c r="A151" s="2">
        <v>45974.76630283565</v>
      </c>
      <c r="B151" s="3">
        <v>45974.0</v>
      </c>
      <c r="C151" s="4" t="s">
        <v>31</v>
      </c>
      <c r="D151" s="4" t="s">
        <v>24</v>
      </c>
      <c r="E151" s="4" t="s">
        <v>48</v>
      </c>
      <c r="F151" s="5">
        <v>0.625</v>
      </c>
      <c r="G151" s="5">
        <v>0.7083333333357587</v>
      </c>
    </row>
    <row r="152">
      <c r="A152" s="2">
        <v>45975.91332704861</v>
      </c>
      <c r="B152" s="3">
        <v>45973.0</v>
      </c>
      <c r="C152" s="4" t="s">
        <v>10</v>
      </c>
      <c r="D152" s="4" t="s">
        <v>11</v>
      </c>
      <c r="E152" s="4" t="s">
        <v>48</v>
      </c>
      <c r="F152" s="5">
        <v>0.6458333333357587</v>
      </c>
      <c r="G152" s="5">
        <v>0.7083333333357587</v>
      </c>
    </row>
    <row r="153">
      <c r="A153" s="2">
        <v>45976.32234815972</v>
      </c>
      <c r="B153" s="3">
        <v>45976.0</v>
      </c>
      <c r="C153" s="4" t="s">
        <v>44</v>
      </c>
      <c r="D153" s="4" t="s">
        <v>45</v>
      </c>
      <c r="E153" s="4" t="s">
        <v>48</v>
      </c>
      <c r="F153" s="5">
        <v>0.29166666666424135</v>
      </c>
      <c r="G153" s="5">
        <v>0.375</v>
      </c>
    </row>
    <row r="154">
      <c r="A154" s="2">
        <v>45976.40410479167</v>
      </c>
      <c r="B154" s="3">
        <v>45976.0</v>
      </c>
      <c r="C154" s="4" t="s">
        <v>38</v>
      </c>
      <c r="D154" s="4" t="s">
        <v>39</v>
      </c>
      <c r="E154" s="4" t="s">
        <v>48</v>
      </c>
      <c r="F154" s="5">
        <v>0.375</v>
      </c>
      <c r="G154" s="5">
        <v>0.45833333333575865</v>
      </c>
    </row>
    <row r="155">
      <c r="A155" s="2">
        <v>45976.44525797454</v>
      </c>
      <c r="B155" s="3">
        <v>45976.0</v>
      </c>
      <c r="C155" s="4" t="s">
        <v>7</v>
      </c>
      <c r="D155" s="4" t="s">
        <v>8</v>
      </c>
      <c r="E155" s="4" t="s">
        <v>48</v>
      </c>
      <c r="F155" s="5">
        <v>0.3125</v>
      </c>
      <c r="G155" s="5">
        <v>0.375</v>
      </c>
    </row>
    <row r="156">
      <c r="A156" s="2">
        <v>45976.44837269676</v>
      </c>
      <c r="B156" s="3">
        <v>45976.0</v>
      </c>
      <c r="C156" s="4" t="s">
        <v>17</v>
      </c>
      <c r="D156" s="4" t="s">
        <v>18</v>
      </c>
      <c r="E156" s="4" t="s">
        <v>48</v>
      </c>
      <c r="F156" s="5">
        <v>0.29861111110949423</v>
      </c>
      <c r="G156" s="5">
        <v>0.3819444444452529</v>
      </c>
    </row>
    <row r="157">
      <c r="A157" s="2">
        <v>45976.44998016204</v>
      </c>
      <c r="B157" s="3">
        <v>45976.0</v>
      </c>
      <c r="C157" s="4" t="s">
        <v>40</v>
      </c>
      <c r="D157" s="4" t="s">
        <v>41</v>
      </c>
      <c r="E157" s="4" t="s">
        <v>48</v>
      </c>
      <c r="F157" s="5">
        <v>0.29166666666424135</v>
      </c>
      <c r="G157" s="5">
        <v>0.375</v>
      </c>
    </row>
    <row r="158">
      <c r="A158" s="2">
        <v>45976.494760138885</v>
      </c>
      <c r="B158" s="3">
        <v>45976.0</v>
      </c>
      <c r="C158" s="4" t="s">
        <v>13</v>
      </c>
      <c r="D158" s="4" t="s">
        <v>14</v>
      </c>
      <c r="E158" s="4" t="s">
        <v>48</v>
      </c>
      <c r="F158" s="5">
        <v>0.38541666666424135</v>
      </c>
      <c r="G158" s="5">
        <v>0.46875</v>
      </c>
    </row>
    <row r="159">
      <c r="A159" s="2">
        <v>45977.40422016203</v>
      </c>
      <c r="B159" s="3">
        <v>45973.0</v>
      </c>
      <c r="C159" s="4" t="s">
        <v>29</v>
      </c>
      <c r="D159" s="4" t="s">
        <v>30</v>
      </c>
      <c r="E159" s="4" t="s">
        <v>48</v>
      </c>
      <c r="F159" s="5">
        <v>0.6458333333357587</v>
      </c>
      <c r="G159" s="5">
        <v>0.7083333333357587</v>
      </c>
    </row>
    <row r="160">
      <c r="A160" s="2">
        <v>45977.831845636574</v>
      </c>
      <c r="B160" s="3">
        <v>45976.0</v>
      </c>
      <c r="C160" s="4" t="s">
        <v>29</v>
      </c>
      <c r="D160" s="4" t="s">
        <v>30</v>
      </c>
      <c r="E160" s="4" t="s">
        <v>48</v>
      </c>
      <c r="F160" s="5">
        <v>0.29166666666424135</v>
      </c>
      <c r="G160" s="5">
        <v>0.7083333333357587</v>
      </c>
    </row>
    <row r="161">
      <c r="A161" s="2">
        <v>45977.83293260417</v>
      </c>
      <c r="B161" s="3">
        <v>45977.0</v>
      </c>
      <c r="C161" s="4" t="s">
        <v>29</v>
      </c>
      <c r="D161" s="4" t="s">
        <v>30</v>
      </c>
      <c r="E161" s="4" t="s">
        <v>48</v>
      </c>
      <c r="F161" s="5">
        <v>0.29166666666424135</v>
      </c>
      <c r="G161" s="5">
        <v>0.7083333333357587</v>
      </c>
    </row>
    <row r="162">
      <c r="A162" s="2">
        <v>45980.68448489583</v>
      </c>
      <c r="B162" s="3">
        <v>45980.0</v>
      </c>
      <c r="C162" s="4" t="s">
        <v>27</v>
      </c>
      <c r="D162" s="4" t="s">
        <v>28</v>
      </c>
      <c r="E162" s="4" t="s">
        <v>48</v>
      </c>
      <c r="F162" s="5">
        <v>0.6666666666642413</v>
      </c>
      <c r="G162" s="5">
        <v>0.6979166666642413</v>
      </c>
    </row>
    <row r="163">
      <c r="A163" s="2">
        <v>45980.703390254625</v>
      </c>
      <c r="B163" s="3">
        <v>45980.0</v>
      </c>
      <c r="C163" s="4" t="s">
        <v>15</v>
      </c>
      <c r="D163" s="4" t="s">
        <v>16</v>
      </c>
      <c r="E163" s="4" t="s">
        <v>48</v>
      </c>
      <c r="F163" s="5">
        <v>0.6666666666642413</v>
      </c>
      <c r="G163" s="5">
        <v>0.7083333333357587</v>
      </c>
    </row>
    <row r="164">
      <c r="A164" s="2">
        <v>45980.718137476855</v>
      </c>
      <c r="B164" s="3">
        <v>45980.0</v>
      </c>
      <c r="C164" s="4" t="s">
        <v>29</v>
      </c>
      <c r="D164" s="4" t="s">
        <v>30</v>
      </c>
      <c r="E164" s="4" t="s">
        <v>48</v>
      </c>
      <c r="F164" s="5">
        <v>0.6458333333357587</v>
      </c>
      <c r="G164" s="5">
        <v>0.7083333333357587</v>
      </c>
    </row>
    <row r="165">
      <c r="A165" s="2">
        <v>45980.735618819446</v>
      </c>
      <c r="B165" s="3">
        <v>45980.0</v>
      </c>
      <c r="C165" s="4" t="s">
        <v>19</v>
      </c>
      <c r="D165" s="4" t="s">
        <v>20</v>
      </c>
      <c r="E165" s="4" t="s">
        <v>48</v>
      </c>
      <c r="F165" s="5">
        <v>0.65625</v>
      </c>
      <c r="G165" s="5">
        <v>0.7083333333357587</v>
      </c>
    </row>
    <row r="166">
      <c r="A166" s="2">
        <v>45980.75924460648</v>
      </c>
      <c r="B166" s="3">
        <v>45980.0</v>
      </c>
      <c r="C166" s="4" t="s">
        <v>10</v>
      </c>
      <c r="D166" s="4" t="s">
        <v>11</v>
      </c>
      <c r="E166" s="4" t="s">
        <v>48</v>
      </c>
      <c r="F166" s="5">
        <v>0.6458333333357587</v>
      </c>
      <c r="G166" s="5">
        <v>0.7083333333357587</v>
      </c>
    </row>
    <row r="167">
      <c r="A167" s="2">
        <v>45980.78661759259</v>
      </c>
      <c r="B167" s="3">
        <v>45980.0</v>
      </c>
      <c r="C167" s="4" t="s">
        <v>46</v>
      </c>
      <c r="D167" s="4" t="s">
        <v>26</v>
      </c>
      <c r="E167" s="4" t="s">
        <v>48</v>
      </c>
      <c r="F167" s="5">
        <v>0.6458333333357587</v>
      </c>
      <c r="G167" s="5">
        <v>0.7083333333357587</v>
      </c>
    </row>
    <row r="168">
      <c r="A168" s="2">
        <v>45980.78690652778</v>
      </c>
      <c r="B168" s="3">
        <v>45973.0</v>
      </c>
      <c r="C168" s="4" t="s">
        <v>46</v>
      </c>
      <c r="D168" s="4" t="s">
        <v>26</v>
      </c>
      <c r="E168" s="4" t="s">
        <v>48</v>
      </c>
      <c r="F168" s="5">
        <v>0.6458333333357587</v>
      </c>
      <c r="G168" s="5">
        <v>0.7083333333357587</v>
      </c>
    </row>
    <row r="169">
      <c r="A169" s="2">
        <v>45980.787159178246</v>
      </c>
      <c r="B169" s="3">
        <v>45980.0</v>
      </c>
      <c r="C169" s="4" t="s">
        <v>25</v>
      </c>
      <c r="D169" s="4" t="s">
        <v>26</v>
      </c>
      <c r="E169" s="4" t="s">
        <v>48</v>
      </c>
      <c r="F169" s="5">
        <v>0.6458333333357587</v>
      </c>
      <c r="G169" s="5">
        <v>0.7083333333357587</v>
      </c>
    </row>
    <row r="170">
      <c r="A170" s="2">
        <v>45981.71266391204</v>
      </c>
      <c r="B170" s="3">
        <v>45981.0</v>
      </c>
      <c r="C170" s="4" t="s">
        <v>31</v>
      </c>
      <c r="D170" s="4" t="s">
        <v>24</v>
      </c>
      <c r="E170" s="4" t="s">
        <v>48</v>
      </c>
      <c r="F170" s="5">
        <v>0.625</v>
      </c>
      <c r="G170" s="5">
        <v>0.7083333333357587</v>
      </c>
    </row>
    <row r="171">
      <c r="A171" s="2">
        <v>45983.385758564815</v>
      </c>
      <c r="B171" s="3">
        <v>45983.0</v>
      </c>
      <c r="C171" s="4" t="s">
        <v>44</v>
      </c>
      <c r="D171" s="4" t="s">
        <v>45</v>
      </c>
      <c r="E171" s="4" t="s">
        <v>48</v>
      </c>
      <c r="F171" s="5">
        <v>0.29166666666424135</v>
      </c>
      <c r="G171" s="5">
        <v>0.375</v>
      </c>
    </row>
    <row r="172">
      <c r="A172" s="2">
        <v>45983.42561895833</v>
      </c>
      <c r="B172" s="3">
        <v>45983.0</v>
      </c>
      <c r="C172" s="4" t="s">
        <v>32</v>
      </c>
      <c r="D172" s="4" t="s">
        <v>33</v>
      </c>
      <c r="E172" s="4" t="s">
        <v>48</v>
      </c>
      <c r="F172" s="5">
        <v>0.375</v>
      </c>
      <c r="G172" s="5">
        <v>0.45833333333575865</v>
      </c>
    </row>
    <row r="173">
      <c r="A173" s="2">
        <v>45983.45356285879</v>
      </c>
      <c r="B173" s="3">
        <v>45983.0</v>
      </c>
      <c r="C173" s="4" t="s">
        <v>7</v>
      </c>
      <c r="D173" s="4" t="s">
        <v>8</v>
      </c>
      <c r="E173" s="4" t="s">
        <v>48</v>
      </c>
      <c r="F173" s="5">
        <v>0.3125</v>
      </c>
      <c r="G173" s="5">
        <v>0.38541666666424135</v>
      </c>
    </row>
    <row r="174">
      <c r="A174" s="2">
        <v>45987.68602488426</v>
      </c>
      <c r="B174" s="3">
        <v>45987.0</v>
      </c>
      <c r="C174" s="4" t="s">
        <v>10</v>
      </c>
      <c r="D174" s="4" t="s">
        <v>11</v>
      </c>
      <c r="E174" s="4" t="s">
        <v>48</v>
      </c>
      <c r="F174" s="5">
        <v>0.6458333333357587</v>
      </c>
      <c r="G174" s="5">
        <v>0.7083333333357587</v>
      </c>
    </row>
    <row r="175">
      <c r="A175" s="2">
        <v>45987.70784505787</v>
      </c>
      <c r="B175" s="3">
        <v>45987.0</v>
      </c>
      <c r="C175" s="4" t="s">
        <v>19</v>
      </c>
      <c r="D175" s="4" t="s">
        <v>20</v>
      </c>
      <c r="E175" s="4" t="s">
        <v>48</v>
      </c>
      <c r="F175" s="5">
        <v>0.65625</v>
      </c>
      <c r="G175" s="5">
        <v>0.7083333333357587</v>
      </c>
    </row>
    <row r="176">
      <c r="A176" s="2">
        <v>45987.71030684028</v>
      </c>
      <c r="B176" s="3">
        <v>45987.0</v>
      </c>
      <c r="C176" s="4" t="s">
        <v>27</v>
      </c>
      <c r="D176" s="4" t="s">
        <v>28</v>
      </c>
      <c r="E176" s="4" t="s">
        <v>48</v>
      </c>
      <c r="F176" s="5">
        <v>0.6458333333357587</v>
      </c>
      <c r="G176" s="5">
        <v>0.7083333333357587</v>
      </c>
    </row>
    <row r="177">
      <c r="A177" s="2">
        <v>45987.7108130787</v>
      </c>
      <c r="B177" s="3">
        <v>45987.0</v>
      </c>
      <c r="C177" s="4" t="s">
        <v>15</v>
      </c>
      <c r="D177" s="4" t="s">
        <v>16</v>
      </c>
      <c r="E177" s="4" t="s">
        <v>48</v>
      </c>
      <c r="F177" s="5">
        <v>0.6666666666642413</v>
      </c>
      <c r="G177" s="5">
        <v>0.7083333333357587</v>
      </c>
    </row>
    <row r="178">
      <c r="A178" s="2">
        <v>45987.71182369213</v>
      </c>
      <c r="B178" s="3">
        <v>45987.0</v>
      </c>
      <c r="C178" s="4" t="s">
        <v>46</v>
      </c>
      <c r="D178" s="4" t="s">
        <v>26</v>
      </c>
      <c r="E178" s="4" t="s">
        <v>48</v>
      </c>
      <c r="F178" s="5">
        <v>0.6458333333357587</v>
      </c>
      <c r="G178" s="5">
        <v>0.7083333333357587</v>
      </c>
    </row>
    <row r="179">
      <c r="A179" s="2">
        <v>45987.734644421296</v>
      </c>
      <c r="B179" s="3">
        <v>45987.0</v>
      </c>
      <c r="C179" s="4" t="s">
        <v>29</v>
      </c>
      <c r="D179" s="4" t="s">
        <v>30</v>
      </c>
      <c r="E179" s="4" t="s">
        <v>48</v>
      </c>
      <c r="F179" s="5">
        <v>0.6458333333357587</v>
      </c>
      <c r="G179" s="5">
        <v>0.7083333333357587</v>
      </c>
    </row>
    <row r="180">
      <c r="A180" s="2">
        <v>45988.91558774306</v>
      </c>
      <c r="B180" s="3">
        <v>45988.0</v>
      </c>
      <c r="C180" s="4" t="s">
        <v>31</v>
      </c>
      <c r="D180" s="4" t="s">
        <v>24</v>
      </c>
      <c r="E180" s="4" t="s">
        <v>48</v>
      </c>
      <c r="F180" s="5">
        <v>0.6458333333357587</v>
      </c>
      <c r="G180" s="5">
        <v>0.7083333333357587</v>
      </c>
    </row>
    <row r="181">
      <c r="A181" s="2">
        <v>45989.783033113425</v>
      </c>
      <c r="B181" s="3">
        <v>45983.0</v>
      </c>
      <c r="C181" s="4" t="s">
        <v>40</v>
      </c>
      <c r="D181" s="4" t="s">
        <v>41</v>
      </c>
      <c r="E181" s="4" t="s">
        <v>48</v>
      </c>
      <c r="F181" s="5">
        <v>0.29166666666424135</v>
      </c>
      <c r="G181" s="5">
        <v>0.375</v>
      </c>
    </row>
    <row r="182">
      <c r="A182" s="2">
        <v>45989.875932546296</v>
      </c>
      <c r="B182" s="3">
        <v>45983.0</v>
      </c>
      <c r="C182" s="4" t="s">
        <v>38</v>
      </c>
      <c r="D182" s="4" t="s">
        <v>39</v>
      </c>
      <c r="E182" s="4" t="s">
        <v>48</v>
      </c>
      <c r="F182" s="5">
        <v>0.375</v>
      </c>
      <c r="G182" s="5">
        <v>0.45833333333575865</v>
      </c>
    </row>
    <row r="183">
      <c r="A183" s="2">
        <v>45990.36783234954</v>
      </c>
      <c r="B183" s="3">
        <v>45983.0</v>
      </c>
      <c r="C183" s="4" t="s">
        <v>13</v>
      </c>
      <c r="D183" s="4" t="s">
        <v>14</v>
      </c>
      <c r="E183" s="4" t="s">
        <v>48</v>
      </c>
      <c r="F183" s="5">
        <v>0.38888888889050577</v>
      </c>
      <c r="G183" s="5">
        <v>0.47222222221898846</v>
      </c>
    </row>
    <row r="184">
      <c r="A184" s="2">
        <v>45992.61984385416</v>
      </c>
      <c r="B184" s="3">
        <v>45971.0</v>
      </c>
      <c r="C184" s="4" t="s">
        <v>21</v>
      </c>
      <c r="D184" s="4" t="s">
        <v>22</v>
      </c>
      <c r="E184" s="4" t="s">
        <v>48</v>
      </c>
      <c r="F184" s="5">
        <v>0.7083333333357587</v>
      </c>
      <c r="G184" s="5">
        <v>0.75</v>
      </c>
    </row>
    <row r="185">
      <c r="A185" s="2">
        <v>45992.63197340278</v>
      </c>
      <c r="B185" s="3">
        <v>45976.0</v>
      </c>
      <c r="C185" s="4" t="s">
        <v>34</v>
      </c>
      <c r="D185" s="4" t="s">
        <v>35</v>
      </c>
      <c r="E185" s="4" t="s">
        <v>48</v>
      </c>
      <c r="F185" s="5">
        <v>0.375</v>
      </c>
      <c r="G185" s="5">
        <v>0.45833333333575865</v>
      </c>
    </row>
    <row r="186">
      <c r="A186" s="2">
        <v>45992.63228875</v>
      </c>
      <c r="B186" s="3">
        <v>45983.0</v>
      </c>
      <c r="C186" s="4" t="s">
        <v>34</v>
      </c>
      <c r="D186" s="4" t="s">
        <v>35</v>
      </c>
      <c r="E186" s="4" t="s">
        <v>48</v>
      </c>
      <c r="F186" s="5">
        <v>0.375</v>
      </c>
      <c r="G186" s="5">
        <v>0.45833333333575865</v>
      </c>
    </row>
    <row r="187">
      <c r="A187" s="2">
        <v>45992.783322777774</v>
      </c>
      <c r="B187" s="3">
        <v>45973.0</v>
      </c>
      <c r="C187" s="4" t="s">
        <v>19</v>
      </c>
      <c r="D187" s="4" t="s">
        <v>20</v>
      </c>
      <c r="E187" s="4" t="s">
        <v>48</v>
      </c>
      <c r="F187" s="5">
        <v>0.65625</v>
      </c>
      <c r="G187" s="5">
        <v>0.7083333333357587</v>
      </c>
    </row>
    <row r="188">
      <c r="A188" s="2">
        <v>45993.29939946759</v>
      </c>
      <c r="B188" s="3">
        <v>45976.0</v>
      </c>
      <c r="C188" s="4" t="s">
        <v>27</v>
      </c>
      <c r="D188" s="4" t="s">
        <v>28</v>
      </c>
      <c r="E188" s="4" t="s">
        <v>48</v>
      </c>
      <c r="F188" s="5">
        <v>0.33333333333575865</v>
      </c>
      <c r="G188" s="5">
        <v>0.7083333333357587</v>
      </c>
    </row>
    <row r="189">
      <c r="A189" s="2">
        <v>45993.29981283565</v>
      </c>
      <c r="B189" s="3">
        <v>45977.0</v>
      </c>
      <c r="C189" s="4" t="s">
        <v>27</v>
      </c>
      <c r="D189" s="4" t="s">
        <v>28</v>
      </c>
      <c r="E189" s="4" t="s">
        <v>48</v>
      </c>
      <c r="F189" s="5">
        <v>0.33333333333575865</v>
      </c>
      <c r="G189" s="5">
        <v>0.7083333333357587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8.75"/>
    <col customWidth="1" min="3" max="3" width="21.25"/>
    <col customWidth="1" min="4" max="4" width="19.5"/>
    <col customWidth="1" min="5" max="5" width="12.25"/>
    <col customWidth="1" min="6" max="6" width="11.0"/>
    <col customWidth="1" min="7" max="7" width="17.75"/>
  </cols>
  <sheetData>
    <row r="1">
      <c r="A1" s="6" t="s">
        <v>49</v>
      </c>
      <c r="B1" s="7"/>
    </row>
    <row r="2">
      <c r="B2" s="7"/>
    </row>
    <row r="3">
      <c r="A3" s="8" t="s">
        <v>50</v>
      </c>
    </row>
    <row r="4">
      <c r="A4" s="8" t="s">
        <v>51</v>
      </c>
    </row>
    <row r="5">
      <c r="B5" s="7"/>
    </row>
    <row r="6" ht="22.5" customHeight="1">
      <c r="A6" s="9" t="s">
        <v>52</v>
      </c>
      <c r="B6" s="10" t="s">
        <v>53</v>
      </c>
      <c r="C6" s="9" t="s">
        <v>2</v>
      </c>
      <c r="D6" s="9" t="s">
        <v>3</v>
      </c>
      <c r="E6" s="9" t="s">
        <v>54</v>
      </c>
      <c r="F6" s="9" t="s">
        <v>55</v>
      </c>
      <c r="G6" s="9" t="s">
        <v>56</v>
      </c>
    </row>
    <row r="7" ht="22.5" customHeight="1">
      <c r="A7" s="11">
        <f t="array" ref="A7">SEQUENCE(COUNTA(B7:B445),1)</f>
        <v>1</v>
      </c>
      <c r="B7" s="12" t="str">
        <f>IFERROR(__xludf.DUMMYFUNCTION("QUERY(IMPORTRANGE($A$1,""Form Responses 1!A2:G""),""select Col2 where Col5='Juli'"")"),"#N/A")</f>
        <v>#N/A</v>
      </c>
      <c r="C7" s="12" t="str">
        <f>IFERROR(__xludf.DUMMYFUNCTION("QUERY(IMPORTRANGE($A$1,""Form Responses 1!A2:G""),""select Col3 where Col5='Juli'"")"),"#N/A")</f>
        <v>#N/A</v>
      </c>
      <c r="D7" s="12" t="str">
        <f>IFERROR(__xludf.DUMMYFUNCTION("QUERY(IMPORTRANGE($A$1,""Form Responses 1!A2:G""),""select Col4 where Col5='Juli'"")"),"#N/A")</f>
        <v>#N/A</v>
      </c>
      <c r="E7" s="13" t="str">
        <f>IFERROR(__xludf.DUMMYFUNCTION("QUERY(IMPORTRANGE($A$1,""Form Responses 1!A2:G""),""select Col6 where Col5='Juli'"")"),"#N/A")</f>
        <v>#N/A</v>
      </c>
      <c r="F7" s="13" t="str">
        <f>IFERROR(__xludf.DUMMYFUNCTION("QUERY(IMPORTRANGE($A$1,""Form Responses 1!A2:G""),""select Col7 where Col5='Juli'"")"),"#N/A")</f>
        <v>#N/A</v>
      </c>
      <c r="G7" s="12"/>
    </row>
    <row r="8" ht="22.5" customHeight="1">
      <c r="A8" s="11"/>
      <c r="B8" s="12"/>
      <c r="C8" s="12"/>
      <c r="D8" s="12"/>
      <c r="E8" s="13"/>
      <c r="F8" s="13"/>
      <c r="G8" s="12"/>
    </row>
    <row r="9" ht="22.5" customHeight="1">
      <c r="A9" s="11"/>
      <c r="B9" s="12"/>
      <c r="C9" s="12"/>
      <c r="D9" s="12"/>
      <c r="E9" s="13"/>
      <c r="F9" s="13"/>
      <c r="G9" s="12"/>
    </row>
    <row r="10" ht="22.5" customHeight="1">
      <c r="A10" s="12"/>
      <c r="B10" s="12"/>
      <c r="C10" s="12"/>
      <c r="D10" s="12"/>
      <c r="E10" s="12"/>
      <c r="F10" s="12"/>
      <c r="G10" s="12"/>
    </row>
    <row r="11" ht="22.5" customHeight="1">
      <c r="A11" s="11"/>
      <c r="B11" s="12"/>
      <c r="C11" s="12"/>
      <c r="D11" s="12"/>
      <c r="E11" s="13"/>
      <c r="F11" s="13"/>
      <c r="G11" s="12"/>
    </row>
    <row r="12" ht="22.5" customHeight="1">
      <c r="A12" s="11"/>
      <c r="B12" s="12"/>
      <c r="C12" s="12"/>
      <c r="D12" s="12"/>
      <c r="E12" s="13"/>
      <c r="F12" s="13"/>
      <c r="G12" s="12"/>
    </row>
    <row r="13" ht="22.5" customHeight="1">
      <c r="A13" s="12"/>
      <c r="B13" s="12"/>
      <c r="C13" s="12"/>
      <c r="D13" s="12"/>
      <c r="E13" s="12"/>
      <c r="F13" s="12"/>
      <c r="G13" s="12"/>
    </row>
    <row r="14" ht="22.5" customHeight="1">
      <c r="A14" s="11"/>
      <c r="B14" s="12"/>
      <c r="C14" s="12"/>
      <c r="D14" s="12"/>
      <c r="E14" s="13"/>
      <c r="F14" s="13"/>
      <c r="G14" s="12"/>
    </row>
    <row r="15" ht="22.5" customHeight="1">
      <c r="A15" s="11"/>
      <c r="B15" s="12"/>
      <c r="C15" s="12"/>
      <c r="D15" s="12"/>
      <c r="E15" s="13"/>
      <c r="F15" s="13"/>
      <c r="G15" s="12"/>
    </row>
    <row r="16" ht="22.5" customHeight="1">
      <c r="A16" s="12"/>
      <c r="B16" s="12"/>
      <c r="C16" s="12"/>
      <c r="D16" s="12"/>
      <c r="E16" s="12"/>
      <c r="F16" s="12"/>
      <c r="G16" s="12"/>
    </row>
    <row r="17" ht="22.5" customHeight="1">
      <c r="A17" s="11"/>
      <c r="B17" s="12"/>
      <c r="C17" s="12"/>
      <c r="D17" s="12"/>
      <c r="E17" s="13"/>
      <c r="F17" s="13"/>
      <c r="G17" s="12"/>
    </row>
    <row r="18" ht="22.5" customHeight="1">
      <c r="A18" s="11"/>
      <c r="B18" s="12"/>
      <c r="C18" s="12"/>
      <c r="D18" s="12"/>
      <c r="E18" s="13"/>
      <c r="F18" s="13"/>
      <c r="G18" s="12"/>
    </row>
    <row r="19" ht="22.5" customHeight="1">
      <c r="A19" s="12"/>
      <c r="B19" s="12"/>
      <c r="C19" s="12"/>
      <c r="D19" s="12"/>
      <c r="E19" s="12"/>
      <c r="F19" s="12"/>
      <c r="G19" s="12"/>
    </row>
    <row r="20" ht="22.5" customHeight="1">
      <c r="A20" s="11"/>
      <c r="B20" s="12"/>
      <c r="C20" s="12"/>
      <c r="D20" s="12"/>
      <c r="E20" s="13"/>
      <c r="F20" s="13"/>
      <c r="G20" s="12"/>
    </row>
    <row r="21" ht="22.5" customHeight="1">
      <c r="A21" s="11"/>
      <c r="B21" s="12"/>
      <c r="C21" s="12"/>
      <c r="D21" s="12"/>
      <c r="E21" s="13"/>
      <c r="F21" s="13"/>
      <c r="G21" s="12"/>
    </row>
    <row r="22" ht="22.5" customHeight="1">
      <c r="A22" s="12"/>
      <c r="B22" s="12"/>
      <c r="C22" s="12"/>
      <c r="D22" s="12"/>
      <c r="E22" s="12"/>
      <c r="F22" s="12"/>
      <c r="G22" s="12"/>
    </row>
    <row r="23" ht="22.5" customHeight="1">
      <c r="A23" s="11"/>
      <c r="B23" s="12"/>
      <c r="C23" s="12"/>
      <c r="D23" s="12"/>
      <c r="E23" s="13"/>
      <c r="F23" s="13"/>
      <c r="G23" s="12"/>
    </row>
    <row r="24" ht="22.5" customHeight="1">
      <c r="A24" s="12"/>
      <c r="B24" s="12"/>
      <c r="C24" s="12"/>
      <c r="D24" s="12"/>
      <c r="E24" s="12"/>
      <c r="F24" s="12"/>
      <c r="G24" s="12"/>
    </row>
    <row r="25" ht="22.5" customHeight="1">
      <c r="A25" s="12"/>
      <c r="B25" s="12"/>
      <c r="C25" s="12"/>
      <c r="D25" s="12"/>
      <c r="E25" s="12"/>
      <c r="F25" s="12"/>
      <c r="G25" s="12"/>
    </row>
    <row r="26" ht="22.5" customHeight="1">
      <c r="A26" s="11"/>
      <c r="B26" s="12"/>
      <c r="C26" s="12"/>
      <c r="D26" s="12"/>
      <c r="E26" s="13"/>
      <c r="F26" s="13"/>
      <c r="G26" s="12"/>
    </row>
    <row r="27" ht="22.5" customHeight="1">
      <c r="A27" s="11"/>
      <c r="B27" s="12"/>
      <c r="C27" s="12"/>
      <c r="D27" s="12"/>
      <c r="E27" s="13"/>
      <c r="F27" s="13"/>
      <c r="G27" s="12"/>
    </row>
    <row r="28" ht="22.5" customHeight="1">
      <c r="A28" s="11"/>
      <c r="B28" s="12"/>
      <c r="C28" s="12"/>
      <c r="D28" s="12"/>
      <c r="E28" s="13"/>
      <c r="F28" s="13"/>
      <c r="G28" s="12"/>
    </row>
    <row r="29" ht="22.5" customHeight="1">
      <c r="A29" s="12"/>
      <c r="B29" s="12"/>
      <c r="C29" s="12"/>
      <c r="D29" s="12"/>
      <c r="E29" s="12"/>
      <c r="F29" s="12"/>
      <c r="G29" s="12"/>
    </row>
    <row r="30" ht="22.5" customHeight="1">
      <c r="A30" s="12"/>
      <c r="B30" s="12"/>
      <c r="C30" s="12"/>
      <c r="D30" s="12"/>
      <c r="E30" s="12"/>
      <c r="F30" s="12"/>
      <c r="G30" s="12"/>
    </row>
    <row r="31" ht="22.5" customHeight="1">
      <c r="A31" s="12"/>
      <c r="B31" s="12"/>
      <c r="C31" s="12"/>
      <c r="D31" s="12"/>
      <c r="E31" s="12"/>
      <c r="F31" s="12"/>
      <c r="G31" s="12"/>
    </row>
    <row r="32" ht="22.5" customHeight="1">
      <c r="A32" s="12"/>
      <c r="B32" s="12"/>
      <c r="C32" s="12"/>
      <c r="D32" s="12"/>
      <c r="E32" s="12"/>
      <c r="F32" s="12"/>
      <c r="G32" s="12"/>
    </row>
    <row r="33" ht="22.5" customHeight="1">
      <c r="A33" s="12"/>
      <c r="B33" s="12"/>
      <c r="C33" s="12"/>
      <c r="D33" s="12"/>
      <c r="E33" s="12"/>
      <c r="F33" s="12"/>
      <c r="G33" s="12"/>
    </row>
    <row r="34" ht="22.5" customHeight="1">
      <c r="A34" s="11"/>
      <c r="B34" s="12"/>
      <c r="C34" s="12"/>
      <c r="D34" s="12"/>
      <c r="E34" s="13"/>
      <c r="F34" s="13"/>
      <c r="G34" s="12"/>
    </row>
    <row r="35" ht="22.5" customHeight="1">
      <c r="A35" s="11"/>
      <c r="B35" s="12"/>
      <c r="C35" s="12"/>
      <c r="D35" s="12"/>
      <c r="E35" s="13"/>
      <c r="F35" s="13"/>
      <c r="G35" s="12"/>
    </row>
    <row r="36" ht="22.5" customHeight="1">
      <c r="A36" s="11"/>
      <c r="B36" s="12"/>
      <c r="C36" s="12"/>
      <c r="D36" s="12"/>
      <c r="E36" s="13"/>
      <c r="F36" s="13"/>
      <c r="G36" s="12"/>
    </row>
    <row r="37" ht="22.5" customHeight="1">
      <c r="A37" s="11"/>
      <c r="B37" s="12"/>
      <c r="C37" s="12"/>
      <c r="D37" s="12"/>
      <c r="E37" s="13"/>
      <c r="F37" s="13"/>
      <c r="G37" s="12"/>
    </row>
    <row r="38" ht="22.5" customHeight="1">
      <c r="A38" s="12"/>
      <c r="B38" s="12"/>
      <c r="C38" s="12"/>
      <c r="D38" s="12"/>
      <c r="E38" s="12"/>
      <c r="F38" s="12"/>
      <c r="G38" s="12"/>
    </row>
    <row r="39" ht="22.5" customHeight="1">
      <c r="A39" s="12"/>
      <c r="B39" s="12"/>
      <c r="C39" s="12"/>
      <c r="D39" s="12"/>
      <c r="E39" s="12"/>
      <c r="F39" s="12"/>
      <c r="G39" s="12"/>
    </row>
    <row r="40" ht="22.5" customHeight="1">
      <c r="A40" s="12"/>
      <c r="B40" s="12"/>
      <c r="C40" s="12"/>
      <c r="D40" s="12"/>
      <c r="E40" s="12"/>
      <c r="F40" s="12"/>
      <c r="G40" s="12"/>
    </row>
    <row r="41" ht="22.5" customHeight="1">
      <c r="A41" s="12"/>
      <c r="B41" s="12"/>
      <c r="C41" s="12"/>
      <c r="D41" s="12"/>
      <c r="E41" s="12"/>
      <c r="F41" s="12"/>
      <c r="G41" s="12"/>
    </row>
    <row r="42" ht="22.5" customHeight="1">
      <c r="A42" s="11"/>
      <c r="B42" s="12"/>
      <c r="C42" s="12"/>
      <c r="D42" s="12"/>
      <c r="E42" s="13"/>
      <c r="F42" s="13"/>
      <c r="G42" s="12"/>
    </row>
    <row r="43" ht="22.5" customHeight="1">
      <c r="A43" s="12"/>
      <c r="B43" s="12"/>
      <c r="C43" s="12"/>
      <c r="D43" s="12"/>
      <c r="E43" s="12"/>
      <c r="F43" s="12"/>
      <c r="G43" s="12"/>
    </row>
    <row r="44" ht="22.5" customHeight="1">
      <c r="A44" s="12"/>
      <c r="B44" s="12"/>
      <c r="C44" s="12"/>
      <c r="D44" s="12"/>
      <c r="E44" s="12"/>
      <c r="F44" s="12"/>
      <c r="G44" s="12"/>
    </row>
    <row r="45" ht="22.5" customHeight="1">
      <c r="A45" s="12"/>
      <c r="B45" s="12"/>
      <c r="C45" s="12"/>
      <c r="D45" s="12"/>
      <c r="E45" s="12"/>
      <c r="F45" s="12"/>
      <c r="G45" s="12"/>
    </row>
    <row r="46" ht="22.5" customHeight="1">
      <c r="A46" s="11"/>
      <c r="B46" s="12"/>
      <c r="C46" s="12"/>
      <c r="D46" s="12"/>
      <c r="E46" s="13"/>
      <c r="F46" s="13"/>
      <c r="G46" s="12"/>
    </row>
    <row r="47" ht="22.5" customHeight="1">
      <c r="A47" s="11"/>
      <c r="B47" s="12"/>
      <c r="C47" s="12"/>
      <c r="D47" s="12"/>
      <c r="E47" s="13"/>
      <c r="F47" s="13"/>
      <c r="G47" s="12"/>
    </row>
    <row r="48" ht="22.5" customHeight="1">
      <c r="A48" s="12"/>
      <c r="B48" s="12"/>
      <c r="C48" s="12"/>
      <c r="D48" s="12"/>
      <c r="E48" s="12"/>
      <c r="F48" s="12"/>
      <c r="G48" s="12"/>
    </row>
    <row r="49" ht="22.5" customHeight="1">
      <c r="A49" s="11"/>
      <c r="B49" s="12"/>
      <c r="C49" s="12"/>
      <c r="D49" s="12"/>
      <c r="E49" s="13"/>
      <c r="F49" s="13"/>
      <c r="G49" s="12"/>
    </row>
    <row r="50" ht="22.5" customHeight="1">
      <c r="A50" s="11"/>
      <c r="B50" s="12"/>
      <c r="C50" s="12"/>
      <c r="D50" s="12"/>
      <c r="E50" s="13"/>
      <c r="F50" s="13"/>
      <c r="G50" s="12"/>
    </row>
    <row r="51" ht="22.5" customHeight="1">
      <c r="A51" s="12"/>
      <c r="B51" s="12"/>
      <c r="C51" s="12"/>
      <c r="D51" s="12"/>
      <c r="E51" s="12"/>
      <c r="F51" s="12"/>
      <c r="G51" s="12"/>
    </row>
    <row r="52" ht="22.5" customHeight="1">
      <c r="A52" s="11"/>
      <c r="B52" s="12"/>
      <c r="C52" s="12"/>
      <c r="D52" s="12"/>
      <c r="E52" s="13"/>
      <c r="F52" s="13"/>
      <c r="G52" s="12"/>
    </row>
    <row r="53" ht="22.5" customHeight="1">
      <c r="A53" s="12"/>
      <c r="B53" s="12"/>
      <c r="C53" s="12"/>
      <c r="D53" s="12"/>
      <c r="E53" s="12"/>
      <c r="F53" s="12"/>
      <c r="G53" s="12"/>
    </row>
    <row r="54" ht="22.5" customHeight="1">
      <c r="A54" s="12"/>
      <c r="B54" s="12"/>
      <c r="C54" s="12"/>
      <c r="D54" s="12"/>
      <c r="E54" s="12"/>
      <c r="F54" s="12"/>
      <c r="G54" s="12"/>
    </row>
    <row r="55" ht="22.5" customHeight="1">
      <c r="A55" s="11"/>
      <c r="B55" s="12"/>
      <c r="C55" s="12"/>
      <c r="D55" s="12"/>
      <c r="E55" s="13"/>
      <c r="F55" s="13"/>
      <c r="G55" s="12"/>
    </row>
    <row r="56" ht="22.5" customHeight="1">
      <c r="A56" s="11"/>
      <c r="B56" s="12"/>
      <c r="C56" s="12"/>
      <c r="D56" s="12"/>
      <c r="E56" s="13"/>
      <c r="F56" s="13"/>
      <c r="G56" s="12"/>
    </row>
    <row r="57" ht="22.5" customHeight="1">
      <c r="A57" s="12"/>
      <c r="B57" s="12"/>
      <c r="C57" s="12"/>
      <c r="D57" s="12"/>
      <c r="E57" s="12"/>
      <c r="F57" s="12"/>
      <c r="G57" s="12"/>
    </row>
    <row r="58" ht="22.5" customHeight="1">
      <c r="A58" s="11"/>
      <c r="B58" s="12"/>
      <c r="C58" s="12"/>
      <c r="D58" s="12"/>
      <c r="E58" s="13"/>
      <c r="F58" s="13"/>
      <c r="G58" s="12"/>
    </row>
    <row r="59" ht="22.5" customHeight="1">
      <c r="A59" s="12"/>
      <c r="B59" s="12"/>
      <c r="C59" s="12"/>
      <c r="D59" s="12"/>
      <c r="E59" s="12"/>
      <c r="F59" s="12"/>
      <c r="G59" s="12"/>
    </row>
    <row r="60" ht="22.5" customHeight="1">
      <c r="A60" s="11"/>
      <c r="B60" s="12"/>
      <c r="C60" s="12"/>
      <c r="D60" s="12"/>
      <c r="E60" s="13"/>
      <c r="F60" s="13"/>
      <c r="G60" s="12"/>
    </row>
    <row r="61" ht="22.5" customHeight="1">
      <c r="A61" s="11"/>
      <c r="B61" s="12"/>
      <c r="C61" s="12"/>
      <c r="D61" s="12"/>
      <c r="E61" s="13"/>
      <c r="F61" s="13"/>
      <c r="G61" s="12"/>
    </row>
    <row r="62" ht="22.5" customHeight="1">
      <c r="A62" s="12"/>
      <c r="B62" s="12"/>
      <c r="C62" s="12"/>
      <c r="D62" s="12"/>
      <c r="E62" s="12"/>
      <c r="F62" s="12"/>
      <c r="G62" s="12"/>
    </row>
    <row r="63" ht="22.5" customHeight="1">
      <c r="A63" s="11"/>
      <c r="B63" s="12"/>
      <c r="C63" s="12"/>
      <c r="D63" s="12"/>
      <c r="E63" s="13"/>
      <c r="F63" s="13"/>
      <c r="G63" s="12"/>
    </row>
    <row r="64" ht="22.5" customHeight="1">
      <c r="A64" s="12"/>
      <c r="B64" s="12"/>
      <c r="C64" s="12"/>
      <c r="D64" s="12"/>
      <c r="E64" s="12"/>
      <c r="F64" s="12"/>
      <c r="G64" s="12"/>
    </row>
    <row r="65" ht="22.5" customHeight="1">
      <c r="A65" s="11"/>
      <c r="B65" s="12"/>
      <c r="C65" s="12"/>
      <c r="D65" s="12"/>
      <c r="E65" s="13"/>
      <c r="F65" s="13"/>
      <c r="G65" s="12"/>
    </row>
    <row r="66" ht="22.5" customHeight="1">
      <c r="A66" s="12"/>
      <c r="B66" s="12"/>
      <c r="C66" s="12"/>
      <c r="D66" s="12"/>
      <c r="E66" s="12"/>
      <c r="F66" s="12"/>
      <c r="G66" s="12"/>
    </row>
    <row r="67" ht="22.5" customHeight="1">
      <c r="A67" s="12"/>
      <c r="B67" s="12"/>
      <c r="C67" s="12"/>
      <c r="D67" s="12"/>
      <c r="E67" s="12"/>
      <c r="F67" s="12"/>
      <c r="G67" s="12"/>
    </row>
    <row r="68" ht="22.5" customHeight="1">
      <c r="A68" s="11"/>
      <c r="B68" s="12"/>
      <c r="C68" s="12"/>
      <c r="D68" s="12"/>
      <c r="E68" s="13"/>
      <c r="F68" s="13"/>
      <c r="G68" s="12"/>
    </row>
    <row r="69" ht="22.5" customHeight="1">
      <c r="A69" s="11"/>
      <c r="B69" s="12"/>
      <c r="C69" s="12"/>
      <c r="D69" s="12"/>
      <c r="E69" s="13"/>
      <c r="F69" s="13"/>
      <c r="G69" s="12"/>
    </row>
    <row r="70" ht="22.5" customHeight="1">
      <c r="A70" s="11"/>
      <c r="B70" s="12"/>
      <c r="C70" s="12"/>
      <c r="D70" s="12"/>
      <c r="E70" s="13"/>
      <c r="F70" s="13"/>
      <c r="G70" s="12"/>
    </row>
    <row r="71" ht="22.5" customHeight="1">
      <c r="A71" s="12"/>
      <c r="B71" s="12"/>
      <c r="C71" s="12"/>
      <c r="D71" s="12"/>
      <c r="E71" s="12"/>
      <c r="F71" s="12"/>
      <c r="G71" s="12"/>
    </row>
    <row r="72" ht="22.5" customHeight="1">
      <c r="A72" s="11"/>
      <c r="B72" s="12"/>
      <c r="C72" s="12"/>
      <c r="D72" s="12"/>
      <c r="E72" s="13"/>
      <c r="F72" s="13"/>
      <c r="G72" s="12"/>
    </row>
    <row r="73" ht="22.5" customHeight="1">
      <c r="A73" s="11"/>
      <c r="B73" s="12"/>
      <c r="C73" s="12"/>
      <c r="D73" s="12"/>
      <c r="E73" s="13"/>
      <c r="F73" s="13"/>
      <c r="G73" s="12"/>
    </row>
    <row r="74" ht="22.5" customHeight="1">
      <c r="A74" s="12"/>
      <c r="B74" s="12"/>
      <c r="C74" s="12"/>
      <c r="D74" s="12"/>
      <c r="E74" s="12"/>
      <c r="F74" s="12"/>
      <c r="G74" s="12"/>
    </row>
    <row r="75" ht="22.5" customHeight="1">
      <c r="A75" s="12"/>
      <c r="B75" s="12"/>
      <c r="C75" s="12"/>
      <c r="D75" s="12"/>
      <c r="E75" s="12"/>
      <c r="F75" s="12"/>
      <c r="G75" s="12"/>
    </row>
    <row r="76" ht="22.5" customHeight="1">
      <c r="A76" s="12"/>
      <c r="B76" s="12"/>
      <c r="C76" s="12"/>
      <c r="D76" s="12"/>
      <c r="E76" s="12"/>
      <c r="F76" s="12"/>
      <c r="G76" s="12"/>
    </row>
    <row r="77" ht="22.5" customHeight="1">
      <c r="A77" s="12"/>
      <c r="B77" s="12"/>
      <c r="C77" s="12"/>
      <c r="D77" s="12"/>
      <c r="E77" s="12"/>
      <c r="F77" s="12"/>
      <c r="G77" s="12"/>
    </row>
    <row r="78" ht="22.5" customHeight="1">
      <c r="A78" s="12"/>
      <c r="B78" s="12"/>
      <c r="C78" s="12"/>
      <c r="D78" s="12"/>
      <c r="E78" s="12"/>
      <c r="F78" s="12"/>
      <c r="G78" s="12"/>
    </row>
    <row r="79" ht="22.5" customHeight="1">
      <c r="A79" s="12"/>
      <c r="B79" s="12"/>
      <c r="C79" s="12"/>
      <c r="D79" s="12"/>
      <c r="E79" s="12"/>
      <c r="F79" s="12"/>
      <c r="G79" s="12"/>
    </row>
    <row r="80" ht="22.5" customHeight="1">
      <c r="A80" s="12"/>
      <c r="B80" s="12"/>
      <c r="C80" s="12"/>
      <c r="D80" s="12"/>
      <c r="E80" s="12"/>
      <c r="F80" s="12"/>
      <c r="G80" s="12"/>
    </row>
    <row r="81" ht="22.5" customHeight="1">
      <c r="A81" s="12"/>
      <c r="B81" s="12"/>
      <c r="C81" s="12"/>
      <c r="D81" s="12"/>
      <c r="E81" s="12"/>
      <c r="F81" s="12"/>
      <c r="G81" s="12"/>
    </row>
    <row r="82" ht="22.5" customHeight="1">
      <c r="A82" s="12"/>
      <c r="B82" s="12"/>
      <c r="C82" s="12"/>
      <c r="D82" s="12"/>
      <c r="E82" s="12"/>
      <c r="F82" s="12"/>
      <c r="G82" s="12"/>
    </row>
    <row r="83" ht="22.5" customHeight="1">
      <c r="A83" s="12"/>
      <c r="B83" s="12"/>
      <c r="C83" s="12"/>
      <c r="D83" s="12"/>
      <c r="E83" s="12"/>
      <c r="F83" s="12"/>
      <c r="G83" s="12"/>
    </row>
    <row r="84" ht="22.5" customHeight="1">
      <c r="A84" s="12"/>
      <c r="B84" s="12"/>
      <c r="C84" s="12"/>
      <c r="D84" s="12"/>
      <c r="E84" s="12"/>
      <c r="F84" s="12"/>
      <c r="G84" s="12"/>
    </row>
    <row r="85" ht="22.5" customHeight="1">
      <c r="A85" s="12"/>
      <c r="B85" s="12"/>
      <c r="C85" s="12"/>
      <c r="D85" s="12"/>
      <c r="E85" s="12"/>
      <c r="F85" s="12"/>
      <c r="G85" s="12"/>
    </row>
    <row r="86" ht="22.5" customHeight="1">
      <c r="A86" s="12"/>
      <c r="B86" s="12"/>
      <c r="C86" s="12"/>
      <c r="D86" s="12"/>
      <c r="E86" s="12"/>
      <c r="F86" s="12"/>
      <c r="G86" s="12"/>
    </row>
    <row r="87" ht="22.5" customHeight="1">
      <c r="A87" s="12"/>
      <c r="B87" s="12"/>
      <c r="C87" s="12"/>
      <c r="D87" s="12"/>
      <c r="E87" s="12"/>
      <c r="F87" s="12"/>
      <c r="G87" s="12"/>
    </row>
    <row r="88" ht="22.5" customHeight="1">
      <c r="A88" s="12"/>
      <c r="B88" s="12"/>
      <c r="C88" s="12"/>
      <c r="D88" s="12"/>
      <c r="E88" s="12"/>
      <c r="F88" s="12"/>
      <c r="G88" s="12"/>
    </row>
    <row r="89" ht="22.5" customHeight="1">
      <c r="A89" s="12"/>
      <c r="B89" s="12"/>
      <c r="C89" s="12"/>
      <c r="D89" s="12"/>
      <c r="E89" s="12"/>
      <c r="F89" s="12"/>
      <c r="G89" s="12"/>
    </row>
    <row r="90" ht="22.5" customHeight="1">
      <c r="A90" s="12"/>
      <c r="B90" s="12"/>
      <c r="C90" s="12"/>
      <c r="D90" s="12"/>
      <c r="E90" s="12"/>
      <c r="F90" s="12"/>
      <c r="G90" s="12"/>
    </row>
    <row r="91" ht="22.5" customHeight="1">
      <c r="A91" s="12"/>
      <c r="B91" s="12"/>
      <c r="C91" s="12"/>
      <c r="D91" s="12"/>
      <c r="E91" s="12"/>
      <c r="F91" s="12"/>
      <c r="G91" s="12"/>
    </row>
    <row r="92" ht="22.5" customHeight="1">
      <c r="A92" s="12"/>
      <c r="B92" s="12"/>
      <c r="C92" s="12"/>
      <c r="D92" s="12"/>
      <c r="E92" s="12"/>
      <c r="F92" s="12"/>
      <c r="G92" s="12"/>
    </row>
    <row r="93" ht="22.5" customHeight="1">
      <c r="A93" s="12"/>
      <c r="B93" s="12"/>
      <c r="C93" s="12"/>
      <c r="D93" s="12"/>
      <c r="E93" s="12"/>
      <c r="F93" s="12"/>
      <c r="G93" s="12"/>
    </row>
    <row r="94" ht="22.5" customHeight="1">
      <c r="A94" s="12"/>
      <c r="B94" s="12"/>
      <c r="C94" s="12"/>
      <c r="D94" s="12"/>
      <c r="E94" s="12"/>
      <c r="F94" s="12"/>
      <c r="G94" s="12"/>
    </row>
    <row r="95" ht="22.5" customHeight="1">
      <c r="A95" s="12"/>
      <c r="B95" s="12"/>
      <c r="C95" s="12"/>
      <c r="D95" s="12"/>
      <c r="E95" s="12"/>
      <c r="F95" s="12"/>
      <c r="G95" s="12"/>
    </row>
    <row r="96" ht="22.5" customHeight="1">
      <c r="A96" s="12"/>
      <c r="B96" s="12"/>
      <c r="C96" s="12"/>
      <c r="D96" s="12"/>
      <c r="E96" s="12"/>
      <c r="F96" s="12"/>
      <c r="G96" s="12"/>
    </row>
    <row r="97" ht="22.5" customHeight="1">
      <c r="A97" s="12"/>
      <c r="B97" s="12"/>
      <c r="C97" s="12"/>
      <c r="D97" s="12"/>
      <c r="E97" s="12"/>
      <c r="F97" s="12"/>
      <c r="G97" s="12"/>
    </row>
    <row r="98" ht="22.5" customHeight="1">
      <c r="A98" s="12"/>
      <c r="B98" s="12"/>
      <c r="C98" s="12"/>
      <c r="D98" s="12"/>
      <c r="E98" s="12"/>
      <c r="F98" s="12"/>
      <c r="G98" s="12"/>
    </row>
    <row r="99" ht="22.5" customHeight="1">
      <c r="A99" s="12"/>
      <c r="B99" s="12"/>
      <c r="C99" s="12"/>
      <c r="D99" s="12"/>
      <c r="E99" s="12"/>
      <c r="F99" s="12"/>
      <c r="G99" s="12"/>
    </row>
    <row r="100" ht="22.5" customHeight="1">
      <c r="A100" s="12"/>
      <c r="B100" s="12"/>
      <c r="C100" s="12"/>
      <c r="D100" s="12"/>
      <c r="E100" s="12"/>
      <c r="F100" s="12"/>
      <c r="G100" s="12"/>
    </row>
    <row r="101" ht="22.5" customHeight="1">
      <c r="A101" s="12"/>
      <c r="B101" s="12"/>
      <c r="C101" s="12"/>
      <c r="D101" s="12"/>
      <c r="E101" s="12"/>
      <c r="F101" s="12"/>
      <c r="G101" s="12"/>
    </row>
    <row r="102" ht="22.5" customHeight="1">
      <c r="A102" s="12"/>
      <c r="B102" s="12"/>
      <c r="C102" s="12"/>
      <c r="D102" s="12"/>
      <c r="E102" s="12"/>
      <c r="F102" s="12"/>
      <c r="G102" s="12"/>
    </row>
    <row r="103" ht="22.5" customHeight="1">
      <c r="A103" s="12"/>
      <c r="B103" s="12"/>
      <c r="C103" s="12"/>
      <c r="D103" s="12"/>
      <c r="E103" s="12"/>
      <c r="F103" s="12"/>
      <c r="G103" s="12"/>
    </row>
    <row r="104" ht="22.5" customHeight="1">
      <c r="A104" s="12"/>
      <c r="B104" s="12"/>
      <c r="C104" s="12"/>
      <c r="D104" s="12"/>
      <c r="E104" s="12"/>
      <c r="F104" s="12"/>
      <c r="G104" s="12"/>
    </row>
    <row r="105" ht="22.5" customHeight="1">
      <c r="A105" s="12"/>
      <c r="B105" s="12"/>
      <c r="C105" s="12"/>
      <c r="D105" s="12"/>
      <c r="E105" s="12"/>
      <c r="F105" s="12"/>
      <c r="G105" s="12"/>
    </row>
    <row r="106" ht="22.5" customHeight="1">
      <c r="A106" s="12"/>
      <c r="B106" s="12"/>
      <c r="C106" s="12"/>
      <c r="D106" s="12"/>
      <c r="E106" s="12"/>
      <c r="F106" s="12"/>
      <c r="G106" s="12"/>
    </row>
    <row r="107" ht="22.5" customHeight="1">
      <c r="A107" s="12"/>
      <c r="B107" s="12"/>
      <c r="C107" s="12"/>
      <c r="D107" s="12"/>
      <c r="E107" s="12"/>
      <c r="F107" s="12"/>
      <c r="G107" s="12"/>
    </row>
    <row r="108" ht="22.5" customHeight="1">
      <c r="A108" s="12"/>
      <c r="B108" s="12"/>
      <c r="C108" s="12"/>
      <c r="D108" s="12"/>
      <c r="E108" s="12"/>
      <c r="F108" s="12"/>
      <c r="G108" s="12"/>
    </row>
    <row r="109" ht="22.5" customHeight="1">
      <c r="A109" s="12"/>
      <c r="B109" s="12"/>
      <c r="C109" s="12"/>
      <c r="D109" s="12"/>
      <c r="E109" s="12"/>
      <c r="F109" s="12"/>
      <c r="G109" s="12"/>
    </row>
    <row r="110" ht="22.5" customHeight="1">
      <c r="A110" s="12"/>
      <c r="B110" s="12"/>
      <c r="C110" s="12"/>
      <c r="D110" s="12"/>
      <c r="E110" s="12"/>
      <c r="F110" s="12"/>
      <c r="G110" s="12"/>
    </row>
    <row r="111" ht="22.5" customHeight="1">
      <c r="A111" s="12"/>
      <c r="B111" s="12"/>
      <c r="C111" s="12"/>
      <c r="D111" s="12"/>
      <c r="E111" s="12"/>
      <c r="F111" s="12"/>
      <c r="G111" s="12"/>
    </row>
    <row r="112" ht="22.5" customHeight="1">
      <c r="A112" s="12"/>
      <c r="B112" s="12"/>
      <c r="C112" s="12"/>
      <c r="D112" s="12"/>
      <c r="E112" s="12"/>
      <c r="F112" s="12"/>
      <c r="G112" s="12"/>
    </row>
    <row r="113" ht="22.5" customHeight="1">
      <c r="A113" s="12"/>
      <c r="B113" s="12"/>
      <c r="C113" s="12"/>
      <c r="D113" s="12"/>
      <c r="E113" s="12"/>
      <c r="F113" s="12"/>
      <c r="G113" s="12"/>
    </row>
    <row r="114" ht="22.5" customHeight="1">
      <c r="A114" s="12"/>
      <c r="B114" s="12"/>
      <c r="C114" s="12"/>
      <c r="D114" s="12"/>
      <c r="E114" s="12"/>
      <c r="F114" s="12"/>
      <c r="G114" s="12"/>
    </row>
    <row r="115" ht="22.5" customHeight="1">
      <c r="A115" s="12"/>
      <c r="B115" s="12"/>
      <c r="C115" s="12"/>
      <c r="D115" s="12"/>
      <c r="E115" s="12"/>
      <c r="F115" s="12"/>
      <c r="G115" s="12"/>
    </row>
    <row r="116" ht="22.5" customHeight="1">
      <c r="A116" s="12"/>
      <c r="B116" s="12"/>
      <c r="C116" s="12"/>
      <c r="D116" s="12"/>
      <c r="E116" s="12"/>
      <c r="F116" s="12"/>
      <c r="G116" s="12"/>
    </row>
    <row r="117" ht="22.5" customHeight="1">
      <c r="A117" s="12"/>
      <c r="B117" s="12"/>
      <c r="C117" s="12"/>
      <c r="D117" s="12"/>
      <c r="E117" s="12"/>
      <c r="F117" s="12"/>
      <c r="G117" s="12"/>
    </row>
    <row r="118" ht="22.5" customHeight="1">
      <c r="A118" s="12"/>
      <c r="B118" s="12"/>
      <c r="C118" s="12"/>
      <c r="D118" s="12"/>
      <c r="E118" s="12"/>
      <c r="F118" s="12"/>
      <c r="G118" s="12"/>
    </row>
    <row r="119" ht="22.5" customHeight="1">
      <c r="A119" s="12"/>
      <c r="B119" s="12"/>
      <c r="C119" s="12"/>
      <c r="D119" s="12"/>
      <c r="E119" s="12"/>
      <c r="F119" s="12"/>
      <c r="G119" s="12"/>
    </row>
    <row r="120" ht="22.5" customHeight="1">
      <c r="A120" s="12"/>
      <c r="B120" s="12"/>
      <c r="C120" s="12"/>
      <c r="D120" s="12"/>
      <c r="E120" s="12"/>
      <c r="F120" s="12"/>
      <c r="G120" s="12"/>
    </row>
    <row r="121" ht="22.5" customHeight="1">
      <c r="A121" s="12"/>
      <c r="B121" s="12"/>
      <c r="C121" s="12"/>
      <c r="D121" s="12"/>
      <c r="E121" s="12"/>
      <c r="F121" s="12"/>
      <c r="G121" s="12"/>
    </row>
    <row r="122" ht="22.5" customHeight="1">
      <c r="A122" s="12"/>
      <c r="B122" s="12"/>
      <c r="C122" s="12"/>
      <c r="D122" s="12"/>
      <c r="E122" s="12"/>
      <c r="F122" s="12"/>
      <c r="G122" s="12"/>
    </row>
    <row r="123" ht="22.5" customHeight="1">
      <c r="A123" s="12"/>
      <c r="B123" s="12"/>
      <c r="C123" s="12"/>
      <c r="D123" s="12"/>
      <c r="E123" s="12"/>
      <c r="F123" s="12"/>
      <c r="G123" s="12"/>
    </row>
    <row r="124" ht="22.5" customHeight="1">
      <c r="A124" s="12"/>
      <c r="B124" s="12"/>
      <c r="C124" s="12"/>
      <c r="D124" s="12"/>
      <c r="E124" s="12"/>
      <c r="F124" s="12"/>
      <c r="G124" s="12"/>
    </row>
    <row r="125" ht="22.5" customHeight="1">
      <c r="A125" s="12"/>
      <c r="B125" s="12"/>
      <c r="C125" s="12"/>
      <c r="D125" s="12"/>
      <c r="E125" s="12"/>
      <c r="F125" s="12"/>
      <c r="G125" s="12"/>
    </row>
    <row r="126" ht="22.5" customHeight="1">
      <c r="A126" s="12"/>
      <c r="B126" s="12"/>
      <c r="C126" s="12"/>
      <c r="D126" s="12"/>
      <c r="E126" s="12"/>
      <c r="F126" s="12"/>
      <c r="G126" s="12"/>
    </row>
    <row r="127" ht="22.5" customHeight="1">
      <c r="A127" s="12"/>
      <c r="B127" s="12"/>
      <c r="C127" s="12"/>
      <c r="D127" s="12"/>
      <c r="E127" s="12"/>
      <c r="F127" s="12"/>
      <c r="G127" s="12"/>
    </row>
    <row r="128" ht="22.5" customHeight="1">
      <c r="A128" s="12"/>
      <c r="B128" s="12"/>
      <c r="C128" s="12"/>
      <c r="D128" s="12"/>
      <c r="E128" s="12"/>
      <c r="F128" s="12"/>
      <c r="G128" s="12"/>
    </row>
    <row r="129" ht="22.5" customHeight="1">
      <c r="A129" s="12"/>
      <c r="B129" s="12"/>
      <c r="C129" s="12"/>
      <c r="D129" s="12"/>
      <c r="E129" s="12"/>
      <c r="F129" s="12"/>
      <c r="G129" s="12"/>
    </row>
    <row r="130" ht="22.5" customHeight="1">
      <c r="A130" s="12"/>
      <c r="B130" s="12"/>
      <c r="C130" s="12"/>
      <c r="D130" s="12"/>
      <c r="E130" s="12"/>
      <c r="F130" s="12"/>
      <c r="G130" s="12"/>
    </row>
    <row r="131" ht="22.5" customHeight="1">
      <c r="A131" s="12"/>
      <c r="B131" s="12"/>
      <c r="C131" s="12"/>
      <c r="D131" s="12"/>
      <c r="E131" s="12"/>
      <c r="F131" s="12"/>
      <c r="G131" s="12"/>
    </row>
    <row r="132" ht="22.5" customHeight="1">
      <c r="A132" s="12"/>
      <c r="B132" s="12"/>
      <c r="C132" s="12"/>
      <c r="D132" s="12"/>
      <c r="E132" s="12"/>
      <c r="F132" s="12"/>
      <c r="G132" s="12"/>
    </row>
    <row r="133" ht="22.5" customHeight="1">
      <c r="A133" s="12"/>
      <c r="B133" s="12"/>
      <c r="C133" s="12"/>
      <c r="D133" s="12"/>
      <c r="E133" s="12"/>
      <c r="F133" s="12"/>
      <c r="G133" s="12"/>
    </row>
    <row r="134" ht="22.5" customHeight="1">
      <c r="A134" s="12"/>
      <c r="B134" s="12"/>
      <c r="C134" s="12"/>
      <c r="D134" s="12"/>
      <c r="E134" s="12"/>
      <c r="F134" s="12"/>
      <c r="G134" s="12"/>
    </row>
    <row r="135" ht="22.5" customHeight="1">
      <c r="A135" s="12"/>
      <c r="B135" s="12"/>
      <c r="C135" s="12"/>
      <c r="D135" s="12"/>
      <c r="E135" s="12"/>
      <c r="F135" s="12"/>
      <c r="G135" s="12"/>
    </row>
    <row r="136" ht="22.5" customHeight="1">
      <c r="A136" s="12"/>
      <c r="B136" s="12"/>
      <c r="C136" s="12"/>
      <c r="D136" s="12"/>
      <c r="E136" s="12"/>
      <c r="F136" s="12"/>
      <c r="G136" s="12"/>
    </row>
    <row r="137" ht="22.5" customHeight="1">
      <c r="A137" s="12"/>
      <c r="B137" s="12"/>
      <c r="C137" s="12"/>
      <c r="D137" s="12"/>
      <c r="E137" s="12"/>
      <c r="F137" s="12"/>
      <c r="G137" s="12"/>
    </row>
    <row r="138" ht="22.5" customHeight="1">
      <c r="A138" s="12"/>
      <c r="B138" s="12"/>
      <c r="C138" s="12"/>
      <c r="D138" s="12"/>
      <c r="E138" s="12"/>
      <c r="F138" s="12"/>
      <c r="G138" s="12"/>
    </row>
    <row r="139" ht="22.5" customHeight="1">
      <c r="A139" s="12"/>
      <c r="B139" s="12"/>
      <c r="C139" s="12"/>
      <c r="D139" s="12"/>
      <c r="E139" s="12"/>
      <c r="F139" s="12"/>
      <c r="G139" s="12"/>
    </row>
    <row r="140" ht="22.5" customHeight="1">
      <c r="A140" s="12"/>
      <c r="B140" s="12"/>
      <c r="C140" s="12"/>
      <c r="D140" s="12"/>
      <c r="E140" s="12"/>
      <c r="F140" s="12"/>
      <c r="G140" s="12"/>
    </row>
    <row r="141" ht="22.5" customHeight="1">
      <c r="A141" s="12"/>
      <c r="B141" s="12"/>
      <c r="C141" s="12"/>
      <c r="D141" s="12"/>
      <c r="E141" s="12"/>
      <c r="F141" s="12"/>
      <c r="G141" s="12"/>
    </row>
    <row r="142" ht="22.5" customHeight="1">
      <c r="A142" s="12"/>
      <c r="B142" s="12"/>
      <c r="C142" s="12"/>
      <c r="D142" s="12"/>
      <c r="E142" s="12"/>
      <c r="F142" s="12"/>
      <c r="G142" s="12"/>
    </row>
    <row r="143" ht="22.5" customHeight="1">
      <c r="A143" s="12"/>
      <c r="B143" s="12"/>
      <c r="C143" s="12"/>
      <c r="D143" s="12"/>
      <c r="E143" s="12"/>
      <c r="F143" s="12"/>
      <c r="G143" s="12"/>
    </row>
    <row r="144" ht="22.5" customHeight="1">
      <c r="A144" s="12"/>
      <c r="B144" s="12"/>
      <c r="C144" s="12"/>
      <c r="D144" s="12"/>
      <c r="E144" s="12"/>
      <c r="F144" s="12"/>
      <c r="G144" s="12"/>
    </row>
    <row r="145" ht="22.5" customHeight="1">
      <c r="A145" s="12"/>
      <c r="B145" s="12"/>
      <c r="C145" s="12"/>
      <c r="D145" s="12"/>
      <c r="E145" s="12"/>
      <c r="F145" s="12"/>
      <c r="G145" s="12"/>
    </row>
    <row r="146" ht="22.5" customHeight="1">
      <c r="A146" s="12"/>
      <c r="B146" s="12"/>
      <c r="C146" s="12"/>
      <c r="D146" s="12"/>
      <c r="E146" s="12"/>
      <c r="F146" s="12"/>
      <c r="G146" s="12"/>
    </row>
    <row r="147" ht="22.5" customHeight="1">
      <c r="A147" s="12"/>
      <c r="B147" s="12"/>
      <c r="C147" s="12"/>
      <c r="D147" s="12"/>
      <c r="E147" s="12"/>
      <c r="F147" s="12"/>
      <c r="G147" s="12"/>
    </row>
    <row r="148" ht="22.5" customHeight="1">
      <c r="A148" s="12"/>
      <c r="B148" s="12"/>
      <c r="C148" s="12"/>
      <c r="D148" s="12"/>
      <c r="E148" s="12"/>
      <c r="F148" s="12"/>
      <c r="G148" s="12"/>
    </row>
    <row r="149" ht="22.5" customHeight="1">
      <c r="A149" s="12"/>
      <c r="B149" s="12"/>
      <c r="C149" s="12"/>
      <c r="D149" s="12"/>
      <c r="E149" s="12"/>
      <c r="F149" s="12"/>
      <c r="G149" s="12"/>
    </row>
    <row r="150" ht="22.5" customHeight="1">
      <c r="A150" s="12"/>
      <c r="B150" s="12"/>
      <c r="C150" s="12"/>
      <c r="D150" s="12"/>
      <c r="E150" s="12"/>
      <c r="F150" s="12"/>
      <c r="G150" s="12"/>
    </row>
    <row r="151" ht="22.5" customHeight="1">
      <c r="A151" s="12"/>
      <c r="B151" s="12"/>
      <c r="C151" s="12"/>
      <c r="D151" s="12"/>
      <c r="E151" s="12"/>
      <c r="F151" s="12"/>
      <c r="G151" s="12"/>
    </row>
    <row r="152" ht="22.5" customHeight="1">
      <c r="A152" s="12"/>
      <c r="B152" s="12"/>
      <c r="C152" s="12"/>
      <c r="D152" s="12"/>
      <c r="E152" s="12"/>
      <c r="F152" s="12"/>
      <c r="G152" s="12"/>
    </row>
    <row r="153" ht="22.5" customHeight="1">
      <c r="A153" s="12"/>
      <c r="B153" s="12"/>
      <c r="C153" s="12"/>
      <c r="D153" s="12"/>
      <c r="E153" s="12"/>
      <c r="F153" s="12"/>
      <c r="G153" s="12"/>
    </row>
    <row r="154" ht="22.5" customHeight="1">
      <c r="A154" s="12"/>
      <c r="B154" s="12"/>
      <c r="C154" s="12"/>
      <c r="D154" s="12"/>
      <c r="E154" s="12"/>
      <c r="F154" s="12"/>
      <c r="G154" s="12"/>
    </row>
    <row r="155" ht="22.5" customHeight="1">
      <c r="A155" s="12"/>
      <c r="B155" s="12"/>
      <c r="C155" s="12"/>
      <c r="D155" s="12"/>
      <c r="E155" s="12"/>
      <c r="F155" s="12"/>
      <c r="G155" s="12"/>
    </row>
    <row r="156" ht="22.5" customHeight="1">
      <c r="A156" s="12"/>
      <c r="B156" s="12"/>
      <c r="C156" s="12"/>
      <c r="D156" s="12"/>
      <c r="E156" s="12"/>
      <c r="F156" s="12"/>
      <c r="G156" s="12"/>
    </row>
    <row r="157" ht="22.5" customHeight="1">
      <c r="A157" s="12"/>
      <c r="B157" s="12"/>
      <c r="C157" s="12"/>
      <c r="D157" s="12"/>
      <c r="E157" s="12"/>
      <c r="F157" s="12"/>
      <c r="G157" s="12"/>
    </row>
    <row r="158" ht="22.5" customHeight="1">
      <c r="A158" s="12"/>
      <c r="B158" s="12"/>
      <c r="C158" s="12"/>
      <c r="D158" s="12"/>
      <c r="E158" s="12"/>
      <c r="F158" s="12"/>
      <c r="G158" s="12"/>
    </row>
    <row r="159" ht="22.5" customHeight="1">
      <c r="A159" s="12"/>
      <c r="B159" s="12"/>
      <c r="C159" s="12"/>
      <c r="D159" s="12"/>
      <c r="E159" s="12"/>
      <c r="F159" s="12"/>
      <c r="G159" s="12"/>
    </row>
    <row r="160" ht="22.5" customHeight="1">
      <c r="A160" s="12"/>
      <c r="B160" s="12"/>
      <c r="C160" s="12"/>
      <c r="D160" s="12"/>
      <c r="E160" s="12"/>
      <c r="F160" s="12"/>
      <c r="G160" s="12"/>
    </row>
    <row r="161" ht="22.5" customHeight="1">
      <c r="A161" s="12"/>
      <c r="B161" s="12"/>
      <c r="C161" s="12"/>
      <c r="D161" s="12"/>
      <c r="E161" s="12"/>
      <c r="F161" s="12"/>
      <c r="G161" s="12"/>
    </row>
    <row r="162" ht="22.5" customHeight="1">
      <c r="A162" s="12"/>
      <c r="B162" s="12"/>
      <c r="C162" s="12"/>
      <c r="D162" s="12"/>
      <c r="E162" s="12"/>
      <c r="F162" s="12"/>
      <c r="G162" s="12"/>
    </row>
    <row r="163" ht="22.5" customHeight="1">
      <c r="A163" s="12"/>
      <c r="B163" s="12"/>
      <c r="C163" s="12"/>
      <c r="D163" s="12"/>
      <c r="E163" s="12"/>
      <c r="F163" s="12"/>
      <c r="G163" s="12"/>
    </row>
    <row r="164" ht="22.5" customHeight="1">
      <c r="A164" s="12"/>
      <c r="B164" s="12"/>
      <c r="C164" s="12"/>
      <c r="D164" s="12"/>
      <c r="E164" s="12"/>
      <c r="F164" s="12"/>
      <c r="G164" s="12"/>
    </row>
    <row r="165" ht="22.5" customHeight="1">
      <c r="A165" s="12"/>
      <c r="B165" s="12"/>
      <c r="C165" s="12"/>
      <c r="D165" s="12"/>
      <c r="E165" s="12"/>
      <c r="F165" s="12"/>
      <c r="G165" s="12"/>
    </row>
    <row r="166" ht="22.5" customHeight="1">
      <c r="A166" s="12"/>
      <c r="B166" s="12"/>
      <c r="C166" s="12"/>
      <c r="D166" s="12"/>
      <c r="E166" s="12"/>
      <c r="F166" s="12"/>
      <c r="G166" s="12"/>
    </row>
    <row r="167" ht="22.5" customHeight="1">
      <c r="A167" s="12"/>
      <c r="B167" s="12"/>
      <c r="C167" s="12"/>
      <c r="D167" s="12"/>
      <c r="E167" s="12"/>
      <c r="F167" s="12"/>
      <c r="G167" s="12"/>
    </row>
    <row r="168" ht="22.5" customHeight="1">
      <c r="A168" s="12"/>
      <c r="B168" s="12"/>
      <c r="C168" s="12"/>
      <c r="D168" s="12"/>
      <c r="E168" s="12"/>
      <c r="F168" s="12"/>
      <c r="G168" s="12"/>
    </row>
    <row r="169" ht="22.5" customHeight="1">
      <c r="A169" s="12"/>
      <c r="B169" s="12"/>
      <c r="C169" s="12"/>
      <c r="D169" s="12"/>
      <c r="E169" s="12"/>
      <c r="F169" s="12"/>
      <c r="G169" s="12"/>
    </row>
    <row r="170" ht="22.5" customHeight="1">
      <c r="A170" s="12"/>
      <c r="B170" s="12"/>
      <c r="C170" s="12"/>
      <c r="D170" s="12"/>
      <c r="E170" s="12"/>
      <c r="F170" s="12"/>
      <c r="G170" s="12"/>
    </row>
    <row r="171" ht="22.5" customHeight="1">
      <c r="A171" s="12"/>
      <c r="B171" s="12"/>
      <c r="C171" s="12"/>
      <c r="D171" s="12"/>
      <c r="E171" s="12"/>
      <c r="F171" s="12"/>
      <c r="G171" s="12"/>
    </row>
    <row r="172" ht="22.5" customHeight="1">
      <c r="A172" s="12"/>
      <c r="B172" s="12"/>
      <c r="C172" s="12"/>
      <c r="D172" s="12"/>
      <c r="E172" s="12"/>
      <c r="F172" s="12"/>
      <c r="G172" s="12"/>
    </row>
    <row r="173" ht="22.5" customHeight="1">
      <c r="A173" s="12"/>
      <c r="B173" s="12"/>
      <c r="C173" s="12"/>
      <c r="D173" s="12"/>
      <c r="E173" s="12"/>
      <c r="F173" s="12"/>
      <c r="G173" s="12"/>
    </row>
    <row r="174" ht="22.5" customHeight="1">
      <c r="A174" s="12"/>
      <c r="B174" s="12"/>
      <c r="C174" s="12"/>
      <c r="D174" s="12"/>
      <c r="E174" s="12"/>
      <c r="F174" s="12"/>
      <c r="G174" s="12"/>
    </row>
    <row r="175" ht="22.5" customHeight="1">
      <c r="A175" s="12"/>
      <c r="B175" s="12"/>
      <c r="C175" s="12"/>
      <c r="D175" s="12"/>
      <c r="E175" s="12"/>
      <c r="F175" s="12"/>
      <c r="G175" s="12"/>
    </row>
    <row r="176" ht="22.5" customHeight="1">
      <c r="A176" s="12"/>
      <c r="B176" s="12"/>
      <c r="C176" s="12"/>
      <c r="D176" s="12"/>
      <c r="E176" s="12"/>
      <c r="F176" s="12"/>
      <c r="G176" s="12"/>
    </row>
    <row r="177" ht="22.5" customHeight="1">
      <c r="A177" s="12"/>
      <c r="B177" s="12"/>
      <c r="C177" s="12"/>
      <c r="D177" s="12"/>
      <c r="E177" s="12"/>
      <c r="F177" s="12"/>
      <c r="G177" s="12"/>
    </row>
    <row r="178" ht="22.5" customHeight="1">
      <c r="A178" s="12"/>
      <c r="B178" s="12"/>
      <c r="C178" s="12"/>
      <c r="D178" s="12"/>
      <c r="E178" s="12"/>
      <c r="F178" s="12"/>
      <c r="G178" s="12"/>
    </row>
    <row r="179" ht="22.5" customHeight="1">
      <c r="A179" s="12"/>
      <c r="B179" s="12"/>
      <c r="C179" s="12"/>
      <c r="D179" s="12"/>
      <c r="E179" s="12"/>
      <c r="F179" s="12"/>
      <c r="G179" s="12"/>
    </row>
    <row r="180" ht="22.5" customHeight="1">
      <c r="A180" s="12"/>
      <c r="B180" s="12"/>
      <c r="C180" s="12"/>
      <c r="D180" s="12"/>
      <c r="E180" s="12"/>
      <c r="F180" s="12"/>
      <c r="G180" s="12"/>
    </row>
    <row r="181" ht="22.5" customHeight="1">
      <c r="A181" s="12"/>
      <c r="B181" s="12"/>
      <c r="C181" s="12"/>
      <c r="D181" s="12"/>
      <c r="E181" s="12"/>
      <c r="F181" s="12"/>
      <c r="G181" s="12"/>
    </row>
    <row r="182" ht="22.5" customHeight="1">
      <c r="A182" s="12"/>
      <c r="B182" s="12"/>
      <c r="C182" s="12"/>
      <c r="D182" s="12"/>
      <c r="E182" s="12"/>
      <c r="F182" s="12"/>
      <c r="G182" s="12"/>
    </row>
    <row r="183" ht="22.5" customHeight="1">
      <c r="A183" s="12"/>
      <c r="B183" s="12"/>
      <c r="C183" s="12"/>
      <c r="D183" s="12"/>
      <c r="E183" s="12"/>
      <c r="F183" s="12"/>
      <c r="G183" s="12"/>
    </row>
    <row r="184" ht="22.5" customHeight="1">
      <c r="A184" s="12"/>
      <c r="B184" s="12"/>
      <c r="C184" s="12"/>
      <c r="D184" s="12"/>
      <c r="E184" s="12"/>
      <c r="F184" s="12"/>
      <c r="G184" s="12"/>
    </row>
    <row r="185" ht="22.5" customHeight="1">
      <c r="A185" s="12"/>
      <c r="B185" s="12"/>
      <c r="C185" s="12"/>
      <c r="D185" s="12"/>
      <c r="E185" s="12"/>
      <c r="F185" s="12"/>
      <c r="G185" s="12"/>
    </row>
    <row r="186" ht="22.5" customHeight="1">
      <c r="A186" s="12"/>
      <c r="B186" s="12"/>
      <c r="C186" s="12"/>
      <c r="D186" s="12"/>
      <c r="E186" s="12"/>
      <c r="F186" s="12"/>
      <c r="G186" s="12"/>
    </row>
    <row r="187" ht="22.5" customHeight="1">
      <c r="A187" s="12"/>
      <c r="B187" s="12"/>
      <c r="C187" s="12"/>
      <c r="D187" s="12"/>
      <c r="E187" s="12"/>
      <c r="F187" s="12"/>
      <c r="G187" s="12"/>
    </row>
    <row r="188" ht="22.5" customHeight="1">
      <c r="A188" s="12"/>
      <c r="B188" s="12"/>
      <c r="C188" s="12"/>
      <c r="D188" s="12"/>
      <c r="E188" s="12"/>
      <c r="F188" s="12"/>
      <c r="G188" s="12"/>
    </row>
    <row r="189" ht="22.5" customHeight="1">
      <c r="A189" s="12"/>
      <c r="B189" s="12"/>
      <c r="C189" s="12"/>
      <c r="D189" s="12"/>
      <c r="E189" s="12"/>
      <c r="F189" s="12"/>
      <c r="G189" s="12"/>
    </row>
    <row r="190" ht="22.5" customHeight="1">
      <c r="A190" s="12"/>
      <c r="B190" s="12"/>
      <c r="C190" s="12"/>
      <c r="D190" s="12"/>
      <c r="E190" s="12"/>
      <c r="F190" s="12"/>
      <c r="G190" s="12"/>
    </row>
    <row r="191" ht="22.5" customHeight="1">
      <c r="A191" s="12"/>
      <c r="B191" s="12"/>
      <c r="C191" s="12"/>
      <c r="D191" s="12"/>
      <c r="E191" s="12"/>
      <c r="F191" s="12"/>
      <c r="G191" s="12"/>
    </row>
    <row r="192" ht="22.5" customHeight="1">
      <c r="A192" s="12"/>
      <c r="B192" s="12"/>
      <c r="C192" s="12"/>
      <c r="D192" s="12"/>
      <c r="E192" s="12"/>
      <c r="F192" s="12"/>
      <c r="G192" s="12"/>
    </row>
    <row r="193" ht="22.5" customHeight="1">
      <c r="A193" s="12"/>
      <c r="B193" s="12"/>
      <c r="C193" s="12"/>
      <c r="D193" s="12"/>
      <c r="E193" s="12"/>
      <c r="F193" s="12"/>
      <c r="G193" s="12"/>
    </row>
    <row r="194" ht="22.5" customHeight="1">
      <c r="A194" s="12"/>
      <c r="B194" s="12"/>
      <c r="C194" s="12"/>
      <c r="D194" s="12"/>
      <c r="E194" s="12"/>
      <c r="F194" s="12"/>
      <c r="G194" s="12"/>
    </row>
    <row r="195" ht="22.5" customHeight="1">
      <c r="A195" s="12"/>
      <c r="B195" s="12"/>
      <c r="C195" s="12"/>
      <c r="D195" s="12"/>
      <c r="E195" s="12"/>
      <c r="F195" s="12"/>
      <c r="G195" s="12"/>
    </row>
    <row r="196" ht="22.5" customHeight="1">
      <c r="A196" s="12"/>
      <c r="B196" s="12"/>
      <c r="C196" s="12"/>
      <c r="D196" s="12"/>
      <c r="E196" s="12"/>
      <c r="F196" s="12"/>
      <c r="G196" s="12"/>
    </row>
    <row r="197" ht="22.5" customHeight="1">
      <c r="A197" s="12"/>
      <c r="B197" s="12"/>
      <c r="C197" s="12"/>
      <c r="D197" s="12"/>
      <c r="E197" s="12"/>
      <c r="F197" s="12"/>
      <c r="G197" s="12"/>
    </row>
    <row r="198" ht="22.5" customHeight="1">
      <c r="A198" s="12"/>
      <c r="B198" s="12"/>
      <c r="C198" s="12"/>
      <c r="D198" s="12"/>
      <c r="E198" s="12"/>
      <c r="F198" s="12"/>
      <c r="G198" s="12"/>
    </row>
    <row r="199" ht="22.5" customHeight="1">
      <c r="A199" s="12"/>
      <c r="B199" s="12"/>
      <c r="C199" s="12"/>
      <c r="D199" s="12"/>
      <c r="E199" s="12"/>
      <c r="F199" s="12"/>
      <c r="G199" s="12"/>
    </row>
    <row r="200" ht="22.5" customHeight="1">
      <c r="A200" s="12"/>
      <c r="B200" s="12"/>
      <c r="C200" s="12"/>
      <c r="D200" s="12"/>
      <c r="E200" s="12"/>
      <c r="F200" s="12"/>
      <c r="G200" s="12"/>
    </row>
    <row r="201" ht="22.5" customHeight="1">
      <c r="A201" s="12"/>
      <c r="B201" s="12"/>
      <c r="C201" s="12"/>
      <c r="D201" s="12"/>
      <c r="E201" s="12"/>
      <c r="F201" s="12"/>
      <c r="G201" s="12"/>
    </row>
    <row r="202" ht="22.5" customHeight="1">
      <c r="A202" s="12"/>
      <c r="B202" s="12"/>
      <c r="C202" s="12"/>
      <c r="D202" s="12"/>
      <c r="E202" s="12"/>
      <c r="F202" s="12"/>
      <c r="G202" s="12"/>
    </row>
    <row r="203" ht="22.5" customHeight="1">
      <c r="A203" s="12"/>
      <c r="B203" s="12"/>
      <c r="C203" s="12"/>
      <c r="D203" s="12"/>
      <c r="E203" s="12"/>
      <c r="F203" s="12"/>
      <c r="G203" s="12"/>
    </row>
    <row r="204" ht="22.5" customHeight="1">
      <c r="A204" s="12"/>
      <c r="B204" s="12"/>
      <c r="C204" s="12"/>
      <c r="D204" s="12"/>
      <c r="E204" s="12"/>
      <c r="F204" s="12"/>
      <c r="G204" s="12"/>
    </row>
    <row r="205" ht="22.5" customHeight="1">
      <c r="A205" s="12"/>
      <c r="B205" s="12"/>
      <c r="C205" s="12"/>
      <c r="D205" s="12"/>
      <c r="E205" s="12"/>
      <c r="F205" s="12"/>
      <c r="G205" s="12"/>
    </row>
    <row r="206" ht="22.5" customHeight="1">
      <c r="A206" s="12"/>
      <c r="B206" s="12"/>
      <c r="C206" s="12"/>
      <c r="D206" s="12"/>
      <c r="E206" s="12"/>
      <c r="F206" s="12"/>
      <c r="G206" s="12"/>
    </row>
    <row r="207" ht="22.5" customHeight="1">
      <c r="A207" s="12"/>
      <c r="B207" s="12"/>
      <c r="C207" s="12"/>
      <c r="D207" s="12"/>
      <c r="E207" s="12"/>
      <c r="F207" s="12"/>
      <c r="G207" s="12"/>
    </row>
    <row r="208" ht="22.5" customHeight="1">
      <c r="A208" s="12"/>
      <c r="B208" s="12"/>
      <c r="C208" s="12"/>
      <c r="D208" s="12"/>
      <c r="E208" s="12"/>
      <c r="F208" s="12"/>
      <c r="G208" s="12"/>
    </row>
    <row r="209" ht="22.5" customHeight="1">
      <c r="A209" s="12"/>
      <c r="B209" s="12"/>
      <c r="C209" s="12"/>
      <c r="D209" s="12"/>
      <c r="E209" s="12"/>
      <c r="F209" s="12"/>
      <c r="G209" s="12"/>
    </row>
    <row r="210" ht="22.5" customHeight="1">
      <c r="A210" s="12"/>
      <c r="B210" s="12"/>
      <c r="C210" s="12"/>
      <c r="D210" s="12"/>
      <c r="E210" s="12"/>
      <c r="F210" s="12"/>
      <c r="G210" s="12"/>
    </row>
    <row r="211" ht="22.5" customHeight="1">
      <c r="A211" s="12"/>
      <c r="B211" s="12"/>
      <c r="C211" s="12"/>
      <c r="D211" s="12"/>
      <c r="E211" s="12"/>
      <c r="F211" s="12"/>
      <c r="G211" s="12"/>
    </row>
    <row r="212" ht="22.5" customHeight="1">
      <c r="A212" s="12"/>
      <c r="B212" s="12"/>
      <c r="C212" s="12"/>
      <c r="D212" s="12"/>
      <c r="E212" s="12"/>
      <c r="F212" s="12"/>
      <c r="G212" s="12"/>
    </row>
    <row r="213" ht="22.5" customHeight="1">
      <c r="A213" s="12"/>
      <c r="B213" s="12"/>
      <c r="C213" s="12"/>
      <c r="D213" s="12"/>
      <c r="E213" s="12"/>
      <c r="F213" s="12"/>
      <c r="G213" s="12"/>
    </row>
    <row r="214" ht="22.5" customHeight="1">
      <c r="A214" s="12"/>
      <c r="B214" s="12"/>
      <c r="C214" s="12"/>
      <c r="D214" s="12"/>
      <c r="E214" s="12"/>
      <c r="F214" s="12"/>
      <c r="G214" s="12"/>
    </row>
    <row r="215" ht="22.5" customHeight="1">
      <c r="A215" s="12"/>
      <c r="B215" s="12"/>
      <c r="C215" s="12"/>
      <c r="D215" s="12"/>
      <c r="E215" s="12"/>
      <c r="F215" s="12"/>
      <c r="G215" s="12"/>
    </row>
    <row r="216" ht="22.5" customHeight="1">
      <c r="A216" s="12"/>
      <c r="B216" s="12"/>
      <c r="C216" s="12"/>
      <c r="D216" s="12"/>
      <c r="E216" s="12"/>
      <c r="F216" s="12"/>
      <c r="G216" s="12"/>
    </row>
    <row r="217" ht="22.5" customHeight="1">
      <c r="A217" s="12"/>
      <c r="B217" s="12"/>
      <c r="C217" s="12"/>
      <c r="D217" s="12"/>
      <c r="E217" s="12"/>
      <c r="F217" s="12"/>
      <c r="G217" s="12"/>
    </row>
    <row r="218" ht="22.5" customHeight="1">
      <c r="A218" s="12"/>
      <c r="B218" s="12"/>
      <c r="C218" s="12"/>
      <c r="D218" s="12"/>
      <c r="E218" s="12"/>
      <c r="F218" s="12"/>
      <c r="G218" s="12"/>
    </row>
    <row r="219" ht="22.5" customHeight="1">
      <c r="A219" s="12"/>
      <c r="B219" s="12"/>
      <c r="C219" s="12"/>
      <c r="D219" s="12"/>
      <c r="E219" s="12"/>
      <c r="F219" s="12"/>
      <c r="G219" s="12"/>
    </row>
    <row r="220" ht="22.5" customHeight="1">
      <c r="A220" s="12"/>
      <c r="B220" s="12"/>
      <c r="C220" s="12"/>
      <c r="D220" s="12"/>
      <c r="E220" s="12"/>
      <c r="F220" s="12"/>
      <c r="G220" s="12"/>
    </row>
    <row r="221" ht="22.5" customHeight="1">
      <c r="A221" s="12"/>
      <c r="B221" s="12"/>
      <c r="C221" s="12"/>
      <c r="D221" s="12"/>
      <c r="E221" s="12"/>
      <c r="F221" s="12"/>
      <c r="G221" s="12"/>
    </row>
    <row r="222" ht="22.5" customHeight="1">
      <c r="A222" s="12"/>
      <c r="B222" s="12"/>
      <c r="C222" s="12"/>
      <c r="D222" s="12"/>
      <c r="E222" s="12"/>
      <c r="F222" s="12"/>
      <c r="G222" s="12"/>
    </row>
    <row r="223" ht="22.5" customHeight="1">
      <c r="A223" s="12"/>
      <c r="B223" s="12"/>
      <c r="C223" s="12"/>
      <c r="D223" s="12"/>
      <c r="E223" s="12"/>
      <c r="F223" s="12"/>
      <c r="G223" s="12"/>
    </row>
    <row r="224" ht="22.5" customHeight="1">
      <c r="A224" s="12"/>
      <c r="B224" s="12"/>
      <c r="C224" s="12"/>
      <c r="D224" s="12"/>
      <c r="E224" s="12"/>
      <c r="F224" s="12"/>
      <c r="G224" s="12"/>
    </row>
    <row r="225" ht="22.5" customHeight="1">
      <c r="A225" s="12"/>
      <c r="B225" s="12"/>
      <c r="C225" s="12"/>
      <c r="D225" s="12"/>
      <c r="E225" s="12"/>
      <c r="F225" s="12"/>
      <c r="G225" s="12"/>
    </row>
    <row r="226" ht="22.5" customHeight="1">
      <c r="A226" s="12"/>
      <c r="B226" s="12"/>
      <c r="C226" s="12"/>
      <c r="D226" s="12"/>
      <c r="E226" s="12"/>
      <c r="F226" s="12"/>
      <c r="G226" s="12"/>
    </row>
    <row r="227" ht="22.5" customHeight="1">
      <c r="A227" s="12"/>
      <c r="B227" s="12"/>
      <c r="C227" s="12"/>
      <c r="D227" s="12"/>
      <c r="E227" s="12"/>
      <c r="F227" s="12"/>
      <c r="G227" s="12"/>
    </row>
    <row r="228" ht="22.5" customHeight="1">
      <c r="A228" s="12"/>
      <c r="B228" s="12"/>
      <c r="C228" s="12"/>
      <c r="D228" s="12"/>
      <c r="E228" s="12"/>
      <c r="F228" s="12"/>
      <c r="G228" s="12"/>
    </row>
    <row r="229" ht="22.5" customHeight="1">
      <c r="A229" s="12"/>
      <c r="B229" s="12"/>
      <c r="C229" s="12"/>
      <c r="D229" s="12"/>
      <c r="E229" s="12"/>
      <c r="F229" s="12"/>
      <c r="G229" s="12"/>
    </row>
    <row r="230" ht="22.5" customHeight="1">
      <c r="A230" s="12"/>
      <c r="B230" s="12"/>
      <c r="C230" s="12"/>
      <c r="D230" s="12"/>
      <c r="E230" s="12"/>
      <c r="F230" s="12"/>
      <c r="G230" s="12"/>
    </row>
    <row r="231" ht="22.5" customHeight="1">
      <c r="A231" s="12"/>
      <c r="B231" s="12"/>
      <c r="C231" s="12"/>
      <c r="D231" s="12"/>
      <c r="E231" s="12"/>
      <c r="F231" s="12"/>
      <c r="G231" s="12"/>
    </row>
    <row r="232" ht="22.5" customHeight="1">
      <c r="A232" s="12"/>
      <c r="B232" s="12"/>
      <c r="C232" s="12"/>
      <c r="D232" s="12"/>
      <c r="E232" s="12"/>
      <c r="F232" s="12"/>
      <c r="G232" s="12"/>
    </row>
    <row r="233" ht="22.5" customHeight="1">
      <c r="A233" s="12"/>
      <c r="B233" s="12"/>
      <c r="C233" s="12"/>
      <c r="D233" s="12"/>
      <c r="E233" s="12"/>
      <c r="F233" s="12"/>
      <c r="G233" s="12"/>
    </row>
    <row r="234" ht="22.5" customHeight="1">
      <c r="A234" s="12"/>
      <c r="B234" s="12"/>
      <c r="C234" s="12"/>
      <c r="D234" s="12"/>
      <c r="E234" s="12"/>
      <c r="F234" s="12"/>
      <c r="G234" s="12"/>
    </row>
    <row r="235" ht="22.5" customHeight="1">
      <c r="A235" s="12"/>
      <c r="B235" s="12"/>
      <c r="C235" s="12"/>
      <c r="D235" s="12"/>
      <c r="E235" s="12"/>
      <c r="F235" s="12"/>
      <c r="G235" s="12"/>
    </row>
    <row r="236" ht="22.5" customHeight="1">
      <c r="A236" s="12"/>
      <c r="B236" s="12"/>
      <c r="C236" s="12"/>
      <c r="D236" s="12"/>
      <c r="E236" s="12"/>
      <c r="F236" s="12"/>
      <c r="G236" s="12"/>
    </row>
    <row r="237" ht="22.5" customHeight="1">
      <c r="A237" s="12"/>
      <c r="B237" s="12"/>
      <c r="C237" s="12"/>
      <c r="D237" s="12"/>
      <c r="E237" s="12"/>
      <c r="F237" s="12"/>
      <c r="G237" s="12"/>
    </row>
    <row r="238" ht="22.5" customHeight="1">
      <c r="A238" s="12"/>
      <c r="B238" s="12"/>
      <c r="C238" s="12"/>
      <c r="D238" s="12"/>
      <c r="E238" s="12"/>
      <c r="F238" s="12"/>
      <c r="G238" s="12"/>
    </row>
    <row r="239" ht="22.5" customHeight="1">
      <c r="A239" s="12"/>
      <c r="B239" s="12"/>
      <c r="C239" s="12"/>
      <c r="D239" s="12"/>
      <c r="E239" s="12"/>
      <c r="F239" s="12"/>
      <c r="G239" s="12"/>
    </row>
    <row r="240" ht="22.5" customHeight="1">
      <c r="A240" s="12"/>
      <c r="B240" s="12"/>
      <c r="C240" s="12"/>
      <c r="D240" s="12"/>
      <c r="E240" s="12"/>
      <c r="F240" s="12"/>
      <c r="G240" s="12"/>
    </row>
    <row r="241" ht="22.5" customHeight="1">
      <c r="A241" s="12"/>
      <c r="B241" s="12"/>
      <c r="C241" s="12"/>
      <c r="D241" s="12"/>
      <c r="E241" s="12"/>
      <c r="F241" s="12"/>
      <c r="G241" s="12"/>
    </row>
    <row r="242" ht="22.5" customHeight="1">
      <c r="A242" s="12"/>
      <c r="B242" s="12"/>
      <c r="C242" s="12"/>
      <c r="D242" s="12"/>
      <c r="E242" s="12"/>
      <c r="F242" s="12"/>
      <c r="G242" s="12"/>
    </row>
    <row r="243" ht="22.5" customHeight="1">
      <c r="A243" s="12"/>
      <c r="B243" s="12"/>
      <c r="C243" s="12"/>
      <c r="D243" s="12"/>
      <c r="E243" s="12"/>
      <c r="F243" s="12"/>
      <c r="G243" s="12"/>
    </row>
    <row r="244" ht="22.5" customHeight="1">
      <c r="A244" s="12"/>
      <c r="B244" s="12"/>
      <c r="C244" s="12"/>
      <c r="D244" s="12"/>
      <c r="E244" s="12"/>
      <c r="F244" s="12"/>
      <c r="G244" s="12"/>
    </row>
    <row r="245" ht="22.5" customHeight="1">
      <c r="A245" s="12"/>
      <c r="B245" s="12"/>
      <c r="C245" s="12"/>
      <c r="D245" s="12"/>
      <c r="E245" s="12"/>
      <c r="F245" s="12"/>
      <c r="G245" s="12"/>
    </row>
    <row r="246" ht="22.5" customHeight="1">
      <c r="A246" s="12"/>
      <c r="B246" s="12"/>
      <c r="C246" s="12"/>
      <c r="D246" s="12"/>
      <c r="E246" s="12"/>
      <c r="F246" s="12"/>
      <c r="G246" s="12"/>
    </row>
    <row r="247" ht="22.5" customHeight="1">
      <c r="A247" s="12"/>
      <c r="B247" s="12"/>
      <c r="C247" s="12"/>
      <c r="D247" s="12"/>
      <c r="E247" s="12"/>
      <c r="F247" s="12"/>
      <c r="G247" s="12"/>
    </row>
    <row r="248" ht="22.5" customHeight="1">
      <c r="A248" s="12"/>
      <c r="B248" s="12"/>
      <c r="C248" s="12"/>
      <c r="D248" s="12"/>
      <c r="E248" s="12"/>
      <c r="F248" s="12"/>
      <c r="G248" s="12"/>
    </row>
    <row r="249" ht="22.5" customHeight="1">
      <c r="A249" s="12"/>
      <c r="B249" s="12"/>
      <c r="C249" s="12"/>
      <c r="D249" s="12"/>
      <c r="E249" s="12"/>
      <c r="F249" s="12"/>
      <c r="G249" s="12"/>
    </row>
    <row r="250" ht="22.5" customHeight="1">
      <c r="A250" s="12"/>
      <c r="B250" s="12"/>
      <c r="C250" s="12"/>
      <c r="D250" s="12"/>
      <c r="E250" s="12"/>
      <c r="F250" s="12"/>
      <c r="G250" s="12"/>
    </row>
    <row r="251" ht="22.5" customHeight="1">
      <c r="A251" s="12"/>
      <c r="B251" s="12"/>
      <c r="C251" s="12"/>
      <c r="D251" s="12"/>
      <c r="E251" s="12"/>
      <c r="F251" s="12"/>
      <c r="G251" s="12"/>
    </row>
    <row r="252" ht="22.5" customHeight="1">
      <c r="A252" s="12"/>
      <c r="B252" s="12"/>
      <c r="C252" s="12"/>
      <c r="D252" s="12"/>
      <c r="E252" s="12"/>
      <c r="F252" s="12"/>
      <c r="G252" s="12"/>
    </row>
    <row r="253" ht="22.5" customHeight="1">
      <c r="A253" s="12"/>
      <c r="B253" s="12"/>
      <c r="C253" s="12"/>
      <c r="D253" s="12"/>
      <c r="E253" s="12"/>
      <c r="F253" s="12"/>
      <c r="G253" s="12"/>
    </row>
    <row r="254" ht="22.5" customHeight="1">
      <c r="A254" s="12"/>
      <c r="B254" s="12"/>
      <c r="C254" s="12"/>
      <c r="D254" s="12"/>
      <c r="E254" s="12"/>
      <c r="F254" s="12"/>
      <c r="G254" s="12"/>
    </row>
    <row r="255" ht="22.5" customHeight="1">
      <c r="A255" s="12"/>
      <c r="B255" s="12"/>
      <c r="C255" s="12"/>
      <c r="D255" s="12"/>
      <c r="E255" s="12"/>
      <c r="F255" s="12"/>
      <c r="G255" s="12"/>
    </row>
    <row r="256" ht="22.5" customHeight="1">
      <c r="A256" s="12"/>
      <c r="B256" s="12"/>
      <c r="C256" s="12"/>
      <c r="D256" s="12"/>
      <c r="E256" s="12"/>
      <c r="F256" s="12"/>
      <c r="G256" s="12"/>
    </row>
    <row r="257" ht="22.5" customHeight="1">
      <c r="A257" s="12"/>
      <c r="B257" s="12"/>
      <c r="C257" s="12"/>
      <c r="D257" s="12"/>
      <c r="E257" s="12"/>
      <c r="F257" s="12"/>
      <c r="G257" s="12"/>
    </row>
    <row r="258" ht="22.5" customHeight="1">
      <c r="A258" s="12"/>
      <c r="B258" s="12"/>
      <c r="C258" s="12"/>
      <c r="D258" s="12"/>
      <c r="E258" s="12"/>
      <c r="F258" s="12"/>
      <c r="G258" s="12"/>
    </row>
    <row r="259" ht="22.5" customHeight="1">
      <c r="A259" s="12"/>
      <c r="B259" s="12"/>
      <c r="C259" s="12"/>
      <c r="D259" s="12"/>
      <c r="E259" s="12"/>
      <c r="F259" s="12"/>
      <c r="G259" s="12"/>
    </row>
    <row r="260" ht="22.5" customHeight="1">
      <c r="A260" s="12"/>
      <c r="B260" s="12"/>
      <c r="C260" s="12"/>
      <c r="D260" s="12"/>
      <c r="E260" s="12"/>
      <c r="F260" s="12"/>
      <c r="G260" s="12"/>
    </row>
    <row r="261" ht="22.5" customHeight="1">
      <c r="A261" s="12"/>
      <c r="B261" s="12"/>
      <c r="C261" s="12"/>
      <c r="D261" s="12"/>
      <c r="E261" s="12"/>
      <c r="F261" s="12"/>
      <c r="G261" s="12"/>
    </row>
    <row r="262" ht="22.5" customHeight="1">
      <c r="A262" s="12"/>
      <c r="B262" s="12"/>
      <c r="C262" s="12"/>
      <c r="D262" s="12"/>
      <c r="E262" s="12"/>
      <c r="F262" s="12"/>
      <c r="G262" s="12"/>
    </row>
    <row r="263" ht="22.5" customHeight="1">
      <c r="A263" s="12"/>
      <c r="B263" s="12"/>
      <c r="C263" s="12"/>
      <c r="D263" s="12"/>
      <c r="E263" s="12"/>
      <c r="F263" s="12"/>
      <c r="G263" s="12"/>
    </row>
    <row r="264" ht="22.5" customHeight="1">
      <c r="A264" s="12"/>
      <c r="B264" s="12"/>
      <c r="C264" s="12"/>
      <c r="D264" s="12"/>
      <c r="E264" s="12"/>
      <c r="F264" s="12"/>
      <c r="G264" s="12"/>
    </row>
    <row r="265" ht="22.5" customHeight="1">
      <c r="A265" s="12"/>
      <c r="B265" s="12"/>
      <c r="C265" s="12"/>
      <c r="D265" s="12"/>
      <c r="E265" s="12"/>
      <c r="F265" s="12"/>
      <c r="G265" s="12"/>
    </row>
    <row r="266" ht="22.5" customHeight="1">
      <c r="A266" s="12"/>
      <c r="B266" s="12"/>
      <c r="C266" s="12"/>
      <c r="D266" s="12"/>
      <c r="E266" s="12"/>
      <c r="F266" s="12"/>
      <c r="G266" s="12"/>
    </row>
    <row r="267" ht="22.5" customHeight="1">
      <c r="A267" s="12"/>
      <c r="B267" s="12"/>
      <c r="C267" s="12"/>
      <c r="D267" s="12"/>
      <c r="E267" s="12"/>
      <c r="F267" s="12"/>
      <c r="G267" s="12"/>
    </row>
    <row r="268" ht="22.5" customHeight="1">
      <c r="A268" s="12"/>
      <c r="B268" s="12"/>
      <c r="C268" s="12"/>
      <c r="D268" s="12"/>
      <c r="E268" s="12"/>
      <c r="F268" s="12"/>
      <c r="G268" s="12"/>
    </row>
    <row r="269" ht="22.5" customHeight="1">
      <c r="A269" s="12"/>
      <c r="B269" s="12"/>
      <c r="C269" s="12"/>
      <c r="D269" s="12"/>
      <c r="E269" s="12"/>
      <c r="F269" s="12"/>
      <c r="G269" s="12"/>
    </row>
    <row r="270" ht="22.5" customHeight="1">
      <c r="A270" s="12"/>
      <c r="B270" s="12"/>
      <c r="C270" s="12"/>
      <c r="D270" s="12"/>
      <c r="E270" s="12"/>
      <c r="F270" s="12"/>
      <c r="G270" s="12"/>
    </row>
    <row r="271" ht="22.5" customHeight="1">
      <c r="A271" s="12"/>
      <c r="B271" s="12"/>
      <c r="C271" s="12"/>
      <c r="D271" s="12"/>
      <c r="E271" s="12"/>
      <c r="F271" s="12"/>
      <c r="G271" s="12"/>
    </row>
    <row r="272" ht="22.5" customHeight="1">
      <c r="A272" s="12"/>
      <c r="B272" s="12"/>
      <c r="C272" s="12"/>
      <c r="D272" s="12"/>
      <c r="E272" s="12"/>
      <c r="F272" s="12"/>
      <c r="G272" s="12"/>
    </row>
    <row r="273" ht="22.5" customHeight="1">
      <c r="A273" s="12"/>
      <c r="B273" s="12"/>
      <c r="C273" s="12"/>
      <c r="D273" s="12"/>
      <c r="E273" s="12"/>
      <c r="F273" s="12"/>
      <c r="G273" s="12"/>
    </row>
    <row r="274" ht="22.5" customHeight="1">
      <c r="A274" s="12"/>
      <c r="B274" s="12"/>
      <c r="C274" s="12"/>
      <c r="D274" s="12"/>
      <c r="E274" s="12"/>
      <c r="F274" s="12"/>
      <c r="G274" s="12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</sheetData>
  <mergeCells count="2">
    <mergeCell ref="A3:G3"/>
    <mergeCell ref="A4:G4"/>
  </mergeCells>
  <hyperlinks>
    <hyperlink r:id="rId1" ref="A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8.75"/>
    <col customWidth="1" min="3" max="3" width="21.25"/>
    <col customWidth="1" min="4" max="4" width="19.5"/>
    <col customWidth="1" min="5" max="5" width="12.25"/>
    <col customWidth="1" min="6" max="6" width="11.0"/>
    <col customWidth="1" min="7" max="7" width="17.75"/>
  </cols>
  <sheetData>
    <row r="1">
      <c r="A1" s="6" t="s">
        <v>49</v>
      </c>
    </row>
    <row r="3">
      <c r="A3" s="8" t="s">
        <v>50</v>
      </c>
    </row>
    <row r="4">
      <c r="A4" s="8" t="s">
        <v>51</v>
      </c>
    </row>
    <row r="6">
      <c r="A6" s="14" t="s">
        <v>52</v>
      </c>
      <c r="B6" s="15" t="s">
        <v>53</v>
      </c>
      <c r="C6" s="14" t="s">
        <v>2</v>
      </c>
      <c r="D6" s="14" t="s">
        <v>3</v>
      </c>
      <c r="E6" s="16" t="s">
        <v>57</v>
      </c>
      <c r="F6" s="17"/>
      <c r="G6" s="14" t="s">
        <v>56</v>
      </c>
    </row>
    <row r="7">
      <c r="A7" s="18"/>
      <c r="B7" s="18"/>
      <c r="C7" s="18"/>
      <c r="D7" s="18"/>
      <c r="E7" s="19" t="s">
        <v>54</v>
      </c>
      <c r="F7" s="19" t="s">
        <v>55</v>
      </c>
      <c r="G7" s="18"/>
    </row>
    <row r="8">
      <c r="A8" s="20">
        <v>1.0</v>
      </c>
      <c r="B8" s="21">
        <f>IFERROR(__xludf.DUMMYFUNCTION("QUERY(IMPORTRANGE($A$1,""Form Responses 1!A2:G""),""select Col2 where Col5='Agustus'"")"),45875.0)</f>
        <v>45875</v>
      </c>
      <c r="C8" s="22" t="str">
        <f>IFERROR(__xludf.DUMMYFUNCTION("QUERY(IMPORTRANGE($A$1,""Form Responses 1!A2:G""),""select Col3 where Col5='Agustus'"")"),"Abang Putra Pratama")</f>
        <v>Abang Putra Pratama</v>
      </c>
      <c r="D8" s="23" t="str">
        <f>IFERROR(__xludf.DUMMYFUNCTION("QUERY(IMPORTRANGE($A$1,""Form Responses 1!A2:G""),""select Col4 where Col5='Agustus'"")"),"Karate Ikhwan")</f>
        <v>Karate Ikhwan</v>
      </c>
      <c r="E8" s="24">
        <f>IFERROR(__xludf.DUMMYFUNCTION("QUERY(IMPORTRANGE($A$1,""Form Responses 1!A2:G""),""select Col6 where Col5='Agustus'"")"),0.6458333333321207)</f>
        <v>0.6458333333</v>
      </c>
      <c r="F8" s="24">
        <f>IFERROR(__xludf.DUMMYFUNCTION("QUERY(IMPORTRANGE($A$1,""Form Responses 1!A2:G""),""select Col7 where Col5='Agustus'"")"),0.7083333333321207)</f>
        <v>0.7083333333</v>
      </c>
      <c r="G8" s="23"/>
    </row>
    <row r="9">
      <c r="A9" s="20">
        <v>2.0</v>
      </c>
      <c r="B9" s="21">
        <f>IFERROR(__xludf.DUMMYFUNCTION("""COMPUTED_VALUE"""),45882.0)</f>
        <v>45882</v>
      </c>
      <c r="C9" s="22" t="str">
        <f>IFERROR(__xludf.DUMMYFUNCTION("""COMPUTED_VALUE"""),"Abang Putra Pratama")</f>
        <v>Abang Putra Pratama</v>
      </c>
      <c r="D9" s="23" t="str">
        <f>IFERROR(__xludf.DUMMYFUNCTION("""COMPUTED_VALUE"""),"Karate Ikhwan")</f>
        <v>Karate Ikhwan</v>
      </c>
      <c r="E9" s="24">
        <f>IFERROR(__xludf.DUMMYFUNCTION("""COMPUTED_VALUE"""),0.6458333333321207)</f>
        <v>0.6458333333</v>
      </c>
      <c r="F9" s="24">
        <f>IFERROR(__xludf.DUMMYFUNCTION("""COMPUTED_VALUE"""),0.7083333333321207)</f>
        <v>0.7083333333</v>
      </c>
      <c r="G9" s="23"/>
    </row>
    <row r="10">
      <c r="A10" s="20">
        <v>3.0</v>
      </c>
      <c r="B10" s="21">
        <f>IFERROR(__xludf.DUMMYFUNCTION("""COMPUTED_VALUE"""),45797.0)</f>
        <v>45797</v>
      </c>
      <c r="C10" s="22" t="str">
        <f>IFERROR(__xludf.DUMMYFUNCTION("""COMPUTED_VALUE"""),"Abang Putra Pratama")</f>
        <v>Abang Putra Pratama</v>
      </c>
      <c r="D10" s="23" t="str">
        <f>IFERROR(__xludf.DUMMYFUNCTION("""COMPUTED_VALUE"""),"Karate Ikhwan")</f>
        <v>Karate Ikhwan</v>
      </c>
      <c r="E10" s="24">
        <f>IFERROR(__xludf.DUMMYFUNCTION("""COMPUTED_VALUE"""),0.6458333333321207)</f>
        <v>0.6458333333</v>
      </c>
      <c r="F10" s="24">
        <f>IFERROR(__xludf.DUMMYFUNCTION("""COMPUTED_VALUE"""),0.7083333333321207)</f>
        <v>0.7083333333</v>
      </c>
      <c r="G10" s="23"/>
    </row>
    <row r="11">
      <c r="A11" s="20">
        <v>4.0</v>
      </c>
      <c r="B11" s="21">
        <f>IFERROR(__xludf.DUMMYFUNCTION("""COMPUTED_VALUE"""),45896.0)</f>
        <v>45896</v>
      </c>
      <c r="C11" s="22" t="str">
        <f>IFERROR(__xludf.DUMMYFUNCTION("""COMPUTED_VALUE"""),"Abang Putra Pratama")</f>
        <v>Abang Putra Pratama</v>
      </c>
      <c r="D11" s="23" t="str">
        <f>IFERROR(__xludf.DUMMYFUNCTION("""COMPUTED_VALUE"""),"Karate Ikhwan")</f>
        <v>Karate Ikhwan</v>
      </c>
      <c r="E11" s="24">
        <f>IFERROR(__xludf.DUMMYFUNCTION("""COMPUTED_VALUE"""),0.6458333333321207)</f>
        <v>0.6458333333</v>
      </c>
      <c r="F11" s="24">
        <f>IFERROR(__xludf.DUMMYFUNCTION("""COMPUTED_VALUE"""),0.7083333333321207)</f>
        <v>0.7083333333</v>
      </c>
      <c r="G11" s="23"/>
    </row>
    <row r="12">
      <c r="A12" s="20">
        <v>5.0</v>
      </c>
      <c r="B12" s="21">
        <f>IFERROR(__xludf.DUMMYFUNCTION("""COMPUTED_VALUE"""),45885.0)</f>
        <v>45885</v>
      </c>
      <c r="C12" s="22" t="str">
        <f>IFERROR(__xludf.DUMMYFUNCTION("""COMPUTED_VALUE"""),"APRIYANTI")</f>
        <v>APRIYANTI</v>
      </c>
      <c r="D12" s="23" t="str">
        <f>IFERROR(__xludf.DUMMYFUNCTION("""COMPUTED_VALUE"""),"Desain Poster AKhwat")</f>
        <v>Desain Poster AKhwat</v>
      </c>
      <c r="E12" s="24">
        <f>IFERROR(__xludf.DUMMYFUNCTION("""COMPUTED_VALUE"""),0.40972222222262644)</f>
        <v>0.4097222222</v>
      </c>
      <c r="F12" s="24">
        <f>IFERROR(__xludf.DUMMYFUNCTION("""COMPUTED_VALUE"""),0.5)</f>
        <v>0.5</v>
      </c>
      <c r="G12" s="23"/>
    </row>
    <row r="13">
      <c r="A13" s="20">
        <v>6.0</v>
      </c>
      <c r="B13" s="21">
        <f>IFERROR(__xludf.DUMMYFUNCTION("""COMPUTED_VALUE"""),45892.0)</f>
        <v>45892</v>
      </c>
      <c r="C13" s="22" t="str">
        <f>IFERROR(__xludf.DUMMYFUNCTION("""COMPUTED_VALUE"""),"APRIYANTI")</f>
        <v>APRIYANTI</v>
      </c>
      <c r="D13" s="23" t="str">
        <f>IFERROR(__xludf.DUMMYFUNCTION("""COMPUTED_VALUE"""),"Desain Poster AKhwat")</f>
        <v>Desain Poster AKhwat</v>
      </c>
      <c r="E13" s="24">
        <f>IFERROR(__xludf.DUMMYFUNCTION("""COMPUTED_VALUE"""),0.40972222222262644)</f>
        <v>0.4097222222</v>
      </c>
      <c r="F13" s="24">
        <f>IFERROR(__xludf.DUMMYFUNCTION("""COMPUTED_VALUE"""),0.5)</f>
        <v>0.5</v>
      </c>
      <c r="G13" s="23"/>
    </row>
    <row r="14">
      <c r="A14" s="20">
        <v>7.0</v>
      </c>
      <c r="B14" s="21">
        <f>IFERROR(__xludf.DUMMYFUNCTION("""COMPUTED_VALUE"""),45899.0)</f>
        <v>45899</v>
      </c>
      <c r="C14" s="22" t="str">
        <f>IFERROR(__xludf.DUMMYFUNCTION("""COMPUTED_VALUE"""),"APRIYANTI")</f>
        <v>APRIYANTI</v>
      </c>
      <c r="D14" s="23" t="str">
        <f>IFERROR(__xludf.DUMMYFUNCTION("""COMPUTED_VALUE"""),"Desain Poster AKhwat")</f>
        <v>Desain Poster AKhwat</v>
      </c>
      <c r="E14" s="24">
        <f>IFERROR(__xludf.DUMMYFUNCTION("""COMPUTED_VALUE"""),0.40972222222262644)</f>
        <v>0.4097222222</v>
      </c>
      <c r="F14" s="24">
        <f>IFERROR(__xludf.DUMMYFUNCTION("""COMPUTED_VALUE"""),0.5)</f>
        <v>0.5</v>
      </c>
      <c r="G14" s="23"/>
    </row>
    <row r="15">
      <c r="A15" s="20">
        <v>8.0</v>
      </c>
      <c r="B15" s="21">
        <f>IFERROR(__xludf.DUMMYFUNCTION("""COMPUTED_VALUE"""),45896.0)</f>
        <v>45896</v>
      </c>
      <c r="C15" s="22" t="str">
        <f>IFERROR(__xludf.DUMMYFUNCTION("""COMPUTED_VALUE"""),"Anisa Sholihat")</f>
        <v>Anisa Sholihat</v>
      </c>
      <c r="D15" s="23" t="str">
        <f>IFERROR(__xludf.DUMMYFUNCTION("""COMPUTED_VALUE"""),"Silat Akhwat")</f>
        <v>Silat Akhwat</v>
      </c>
      <c r="E15" s="24">
        <f>IFERROR(__xludf.DUMMYFUNCTION("""COMPUTED_VALUE"""),0.6666666666678793)</f>
        <v>0.6666666667</v>
      </c>
      <c r="F15" s="24">
        <f>IFERROR(__xludf.DUMMYFUNCTION("""COMPUTED_VALUE"""),0.7083333333321207)</f>
        <v>0.7083333333</v>
      </c>
      <c r="G15" s="23"/>
    </row>
    <row r="16">
      <c r="A16" s="20">
        <v>9.0</v>
      </c>
      <c r="B16" s="21">
        <f>IFERROR(__xludf.DUMMYFUNCTION("""COMPUTED_VALUE"""),45871.0)</f>
        <v>45871</v>
      </c>
      <c r="C16" s="22" t="str">
        <f>IFERROR(__xludf.DUMMYFUNCTION("""COMPUTED_VALUE"""),"Yuyun Rusmita")</f>
        <v>Yuyun Rusmita</v>
      </c>
      <c r="D16" s="23" t="str">
        <f>IFERROR(__xludf.DUMMYFUNCTION("""COMPUTED_VALUE"""),"Volli Akhwat")</f>
        <v>Volli Akhwat</v>
      </c>
      <c r="E16" s="24">
        <f>IFERROR(__xludf.DUMMYFUNCTION("""COMPUTED_VALUE"""),0.29861111110949423)</f>
        <v>0.2986111111</v>
      </c>
      <c r="F16" s="24">
        <f>IFERROR(__xludf.DUMMYFUNCTION("""COMPUTED_VALUE"""),0.3819444444452529)</f>
        <v>0.3819444444</v>
      </c>
      <c r="G16" s="23"/>
    </row>
    <row r="17">
      <c r="A17" s="20">
        <v>10.0</v>
      </c>
      <c r="B17" s="21">
        <f>IFERROR(__xludf.DUMMYFUNCTION("""COMPUTED_VALUE"""),45885.0)</f>
        <v>45885</v>
      </c>
      <c r="C17" s="22" t="str">
        <f>IFERROR(__xludf.DUMMYFUNCTION("""COMPUTED_VALUE"""),"Yuyun Rusmita")</f>
        <v>Yuyun Rusmita</v>
      </c>
      <c r="D17" s="23" t="str">
        <f>IFERROR(__xludf.DUMMYFUNCTION("""COMPUTED_VALUE"""),"Volli Akhwat")</f>
        <v>Volli Akhwat</v>
      </c>
      <c r="E17" s="24">
        <f>IFERROR(__xludf.DUMMYFUNCTION("""COMPUTED_VALUE"""),0.29861111110949423)</f>
        <v>0.2986111111</v>
      </c>
      <c r="F17" s="24">
        <f>IFERROR(__xludf.DUMMYFUNCTION("""COMPUTED_VALUE"""),0.3819444444452529)</f>
        <v>0.3819444444</v>
      </c>
      <c r="G17" s="23"/>
    </row>
    <row r="18">
      <c r="A18" s="20">
        <v>11.0</v>
      </c>
      <c r="B18" s="21">
        <f>IFERROR(__xludf.DUMMYFUNCTION("""COMPUTED_VALUE"""),45892.0)</f>
        <v>45892</v>
      </c>
      <c r="C18" s="22" t="str">
        <f>IFERROR(__xludf.DUMMYFUNCTION("""COMPUTED_VALUE"""),"Yuyun Rusmita")</f>
        <v>Yuyun Rusmita</v>
      </c>
      <c r="D18" s="23" t="str">
        <f>IFERROR(__xludf.DUMMYFUNCTION("""COMPUTED_VALUE"""),"Volli Akhwat")</f>
        <v>Volli Akhwat</v>
      </c>
      <c r="E18" s="24">
        <f>IFERROR(__xludf.DUMMYFUNCTION("""COMPUTED_VALUE"""),0.29861111110949423)</f>
        <v>0.2986111111</v>
      </c>
      <c r="F18" s="24">
        <f>IFERROR(__xludf.DUMMYFUNCTION("""COMPUTED_VALUE"""),0.3819444444452529)</f>
        <v>0.3819444444</v>
      </c>
      <c r="G18" s="23"/>
    </row>
    <row r="19">
      <c r="A19" s="20">
        <v>12.0</v>
      </c>
      <c r="B19" s="21">
        <f>IFERROR(__xludf.DUMMYFUNCTION("""COMPUTED_VALUE"""),45896.0)</f>
        <v>45896</v>
      </c>
      <c r="C19" s="22" t="str">
        <f>IFERROR(__xludf.DUMMYFUNCTION("""COMPUTED_VALUE"""),"Januarti")</f>
        <v>Januarti</v>
      </c>
      <c r="D19" s="23" t="str">
        <f>IFERROR(__xludf.DUMMYFUNCTION("""COMPUTED_VALUE"""),"Karate Akhwat")</f>
        <v>Karate Akhwat</v>
      </c>
      <c r="E19" s="24">
        <f>IFERROR(__xludf.DUMMYFUNCTION("""COMPUTED_VALUE"""),0.6458333333321207)</f>
        <v>0.6458333333</v>
      </c>
      <c r="F19" s="24">
        <f>IFERROR(__xludf.DUMMYFUNCTION("""COMPUTED_VALUE"""),0.7083333333321207)</f>
        <v>0.7083333333</v>
      </c>
      <c r="G19" s="23"/>
    </row>
    <row r="20">
      <c r="A20" s="20">
        <v>13.0</v>
      </c>
      <c r="B20" s="21">
        <f>IFERROR(__xludf.DUMMYFUNCTION("""COMPUTED_VALUE"""),45889.0)</f>
        <v>45889</v>
      </c>
      <c r="C20" s="22" t="str">
        <f>IFERROR(__xludf.DUMMYFUNCTION("""COMPUTED_VALUE"""),"Januarti")</f>
        <v>Januarti</v>
      </c>
      <c r="D20" s="23" t="str">
        <f>IFERROR(__xludf.DUMMYFUNCTION("""COMPUTED_VALUE"""),"Karate Akhwat")</f>
        <v>Karate Akhwat</v>
      </c>
      <c r="E20" s="24">
        <f>IFERROR(__xludf.DUMMYFUNCTION("""COMPUTED_VALUE"""),0.6458333333321207)</f>
        <v>0.6458333333</v>
      </c>
      <c r="F20" s="24">
        <f>IFERROR(__xludf.DUMMYFUNCTION("""COMPUTED_VALUE"""),0.7083333333321207)</f>
        <v>0.7083333333</v>
      </c>
      <c r="G20" s="23"/>
    </row>
    <row r="21">
      <c r="A21" s="20">
        <v>14.0</v>
      </c>
      <c r="B21" s="21">
        <f>IFERROR(__xludf.DUMMYFUNCTION("""COMPUTED_VALUE"""),45882.0)</f>
        <v>45882</v>
      </c>
      <c r="C21" s="22" t="str">
        <f>IFERROR(__xludf.DUMMYFUNCTION("""COMPUTED_VALUE"""),"Januarti")</f>
        <v>Januarti</v>
      </c>
      <c r="D21" s="23" t="str">
        <f>IFERROR(__xludf.DUMMYFUNCTION("""COMPUTED_VALUE"""),"Karate Akhwat")</f>
        <v>Karate Akhwat</v>
      </c>
      <c r="E21" s="24">
        <f>IFERROR(__xludf.DUMMYFUNCTION("""COMPUTED_VALUE"""),0.6458333333321207)</f>
        <v>0.6458333333</v>
      </c>
      <c r="F21" s="24">
        <f>IFERROR(__xludf.DUMMYFUNCTION("""COMPUTED_VALUE"""),0.7083333333321207)</f>
        <v>0.7083333333</v>
      </c>
      <c r="G21" s="23"/>
    </row>
    <row r="22">
      <c r="A22" s="20">
        <v>15.0</v>
      </c>
      <c r="B22" s="21">
        <f>IFERROR(__xludf.DUMMYFUNCTION("""COMPUTED_VALUE"""),45875.0)</f>
        <v>45875</v>
      </c>
      <c r="C22" s="22" t="str">
        <f>IFERROR(__xludf.DUMMYFUNCTION("""COMPUTED_VALUE"""),"Januarti")</f>
        <v>Januarti</v>
      </c>
      <c r="D22" s="23" t="str">
        <f>IFERROR(__xludf.DUMMYFUNCTION("""COMPUTED_VALUE"""),"Karate Akhwat")</f>
        <v>Karate Akhwat</v>
      </c>
      <c r="E22" s="24">
        <f>IFERROR(__xludf.DUMMYFUNCTION("""COMPUTED_VALUE"""),0.6458333333321207)</f>
        <v>0.6458333333</v>
      </c>
      <c r="F22" s="24">
        <f>IFERROR(__xludf.DUMMYFUNCTION("""COMPUTED_VALUE"""),0.7083333333321207)</f>
        <v>0.7083333333</v>
      </c>
      <c r="G22" s="23"/>
    </row>
    <row r="23">
      <c r="A23" s="20">
        <v>16.0</v>
      </c>
      <c r="B23" s="21">
        <f>IFERROR(__xludf.DUMMYFUNCTION("""COMPUTED_VALUE"""),45876.0)</f>
        <v>45876</v>
      </c>
      <c r="C23" s="22" t="str">
        <f>IFERROR(__xludf.DUMMYFUNCTION("""COMPUTED_VALUE"""),"Ririn")</f>
        <v>Ririn</v>
      </c>
      <c r="D23" s="23" t="str">
        <f>IFERROR(__xludf.DUMMYFUNCTION("""COMPUTED_VALUE"""),"Pramuka Akhwat")</f>
        <v>Pramuka Akhwat</v>
      </c>
      <c r="E23" s="24">
        <f>IFERROR(__xludf.DUMMYFUNCTION("""COMPUTED_VALUE"""),0.625)</f>
        <v>0.625</v>
      </c>
      <c r="F23" s="24">
        <f>IFERROR(__xludf.DUMMYFUNCTION("""COMPUTED_VALUE"""),0.7083333333321207)</f>
        <v>0.7083333333</v>
      </c>
      <c r="G23" s="23"/>
    </row>
    <row r="24">
      <c r="A24" s="20">
        <v>17.0</v>
      </c>
      <c r="B24" s="21">
        <f>IFERROR(__xludf.DUMMYFUNCTION("""COMPUTED_VALUE"""),45884.0)</f>
        <v>45884</v>
      </c>
      <c r="C24" s="22" t="str">
        <f>IFERROR(__xludf.DUMMYFUNCTION("""COMPUTED_VALUE"""),"Ririn")</f>
        <v>Ririn</v>
      </c>
      <c r="D24" s="23" t="str">
        <f>IFERROR(__xludf.DUMMYFUNCTION("""COMPUTED_VALUE"""),"Pramuka Akhwat")</f>
        <v>Pramuka Akhwat</v>
      </c>
      <c r="E24" s="24">
        <f>IFERROR(__xludf.DUMMYFUNCTION("""COMPUTED_VALUE"""),0.625)</f>
        <v>0.625</v>
      </c>
      <c r="F24" s="24">
        <f>IFERROR(__xludf.DUMMYFUNCTION("""COMPUTED_VALUE"""),0.7083333333321207)</f>
        <v>0.7083333333</v>
      </c>
      <c r="G24" s="23"/>
    </row>
    <row r="25">
      <c r="A25" s="20">
        <v>18.0</v>
      </c>
      <c r="B25" s="21">
        <f>IFERROR(__xludf.DUMMYFUNCTION("""COMPUTED_VALUE"""),45876.0)</f>
        <v>45876</v>
      </c>
      <c r="C25" s="22" t="str">
        <f>IFERROR(__xludf.DUMMYFUNCTION("""COMPUTED_VALUE"""),"Ririn")</f>
        <v>Ririn</v>
      </c>
      <c r="D25" s="23" t="str">
        <f>IFERROR(__xludf.DUMMYFUNCTION("""COMPUTED_VALUE"""),"Pramuka Akhwat")</f>
        <v>Pramuka Akhwat</v>
      </c>
      <c r="E25" s="24">
        <f>IFERROR(__xludf.DUMMYFUNCTION("""COMPUTED_VALUE"""),0.625)</f>
        <v>0.625</v>
      </c>
      <c r="F25" s="24">
        <f>IFERROR(__xludf.DUMMYFUNCTION("""COMPUTED_VALUE"""),0.7083333333321207)</f>
        <v>0.7083333333</v>
      </c>
      <c r="G25" s="23"/>
    </row>
    <row r="26">
      <c r="A26" s="20">
        <v>19.0</v>
      </c>
      <c r="B26" s="22"/>
      <c r="C26" s="22"/>
      <c r="D26" s="23"/>
      <c r="E26" s="24"/>
      <c r="F26" s="24"/>
      <c r="G26" s="23"/>
    </row>
    <row r="27">
      <c r="A27" s="20">
        <v>20.0</v>
      </c>
      <c r="B27" s="22"/>
      <c r="C27" s="22"/>
      <c r="D27" s="23"/>
      <c r="E27" s="24"/>
      <c r="F27" s="24"/>
      <c r="G27" s="23"/>
    </row>
    <row r="28">
      <c r="A28" s="20">
        <v>21.0</v>
      </c>
      <c r="B28" s="22"/>
      <c r="C28" s="22"/>
      <c r="D28" s="23"/>
      <c r="E28" s="24"/>
      <c r="F28" s="24"/>
      <c r="G28" s="23"/>
    </row>
    <row r="29">
      <c r="A29" s="20">
        <v>22.0</v>
      </c>
      <c r="B29" s="22"/>
      <c r="C29" s="22"/>
      <c r="D29" s="23"/>
      <c r="E29" s="24"/>
      <c r="F29" s="24"/>
      <c r="G29" s="23"/>
    </row>
    <row r="30">
      <c r="A30" s="20">
        <v>23.0</v>
      </c>
      <c r="B30" s="22"/>
      <c r="C30" s="22"/>
      <c r="D30" s="23"/>
      <c r="E30" s="24"/>
      <c r="F30" s="24"/>
      <c r="G30" s="23"/>
    </row>
    <row r="31">
      <c r="A31" s="20">
        <v>24.0</v>
      </c>
      <c r="B31" s="22"/>
      <c r="C31" s="22"/>
      <c r="D31" s="23"/>
      <c r="E31" s="24"/>
      <c r="F31" s="24"/>
      <c r="G31" s="23"/>
    </row>
    <row r="32">
      <c r="A32" s="20">
        <v>25.0</v>
      </c>
      <c r="B32" s="22"/>
      <c r="C32" s="22"/>
      <c r="D32" s="23"/>
      <c r="E32" s="24"/>
      <c r="F32" s="24"/>
      <c r="G32" s="23"/>
    </row>
    <row r="33">
      <c r="A33" s="20">
        <v>26.0</v>
      </c>
      <c r="B33" s="22"/>
      <c r="C33" s="22"/>
      <c r="D33" s="23"/>
      <c r="E33" s="24"/>
      <c r="F33" s="24"/>
      <c r="G33" s="23"/>
    </row>
    <row r="34">
      <c r="A34" s="20">
        <v>27.0</v>
      </c>
      <c r="B34" s="22"/>
      <c r="C34" s="22"/>
      <c r="D34" s="23"/>
      <c r="E34" s="24"/>
      <c r="F34" s="24"/>
      <c r="G34" s="23"/>
    </row>
    <row r="35">
      <c r="A35" s="20">
        <v>28.0</v>
      </c>
      <c r="B35" s="22"/>
      <c r="C35" s="22"/>
      <c r="D35" s="23"/>
      <c r="E35" s="24"/>
      <c r="F35" s="24"/>
      <c r="G35" s="23"/>
    </row>
    <row r="36">
      <c r="A36" s="20">
        <v>29.0</v>
      </c>
      <c r="B36" s="22"/>
      <c r="C36" s="22"/>
      <c r="D36" s="23"/>
      <c r="E36" s="24"/>
      <c r="F36" s="24"/>
      <c r="G36" s="23"/>
    </row>
    <row r="37">
      <c r="A37" s="20">
        <v>30.0</v>
      </c>
      <c r="B37" s="22"/>
      <c r="C37" s="22"/>
      <c r="D37" s="23"/>
      <c r="E37" s="24"/>
      <c r="F37" s="24"/>
      <c r="G37" s="23"/>
    </row>
    <row r="38">
      <c r="A38" s="20">
        <v>31.0</v>
      </c>
      <c r="B38" s="22"/>
      <c r="C38" s="22"/>
      <c r="D38" s="23"/>
      <c r="E38" s="24"/>
      <c r="F38" s="24"/>
      <c r="G38" s="23"/>
    </row>
    <row r="39">
      <c r="A39" s="20">
        <v>32.0</v>
      </c>
      <c r="B39" s="22"/>
      <c r="C39" s="22"/>
      <c r="D39" s="23"/>
      <c r="E39" s="24"/>
      <c r="F39" s="24"/>
      <c r="G39" s="23"/>
    </row>
    <row r="40">
      <c r="A40" s="20">
        <v>33.0</v>
      </c>
      <c r="B40" s="22"/>
      <c r="C40" s="22"/>
      <c r="D40" s="23"/>
      <c r="E40" s="24"/>
      <c r="F40" s="24"/>
      <c r="G40" s="23"/>
    </row>
    <row r="41">
      <c r="A41" s="20">
        <v>34.0</v>
      </c>
      <c r="B41" s="22"/>
      <c r="C41" s="22"/>
      <c r="D41" s="23"/>
      <c r="E41" s="24"/>
      <c r="F41" s="24"/>
      <c r="G41" s="23"/>
    </row>
    <row r="42">
      <c r="A42" s="20">
        <v>35.0</v>
      </c>
      <c r="B42" s="22"/>
      <c r="C42" s="22"/>
      <c r="D42" s="23"/>
      <c r="E42" s="24"/>
      <c r="F42" s="24"/>
      <c r="G42" s="23"/>
    </row>
    <row r="43">
      <c r="A43" s="20">
        <v>36.0</v>
      </c>
      <c r="B43" s="22"/>
      <c r="C43" s="22"/>
      <c r="D43" s="23"/>
      <c r="E43" s="24"/>
      <c r="F43" s="24"/>
      <c r="G43" s="23"/>
    </row>
    <row r="44">
      <c r="A44" s="20">
        <v>37.0</v>
      </c>
      <c r="B44" s="22"/>
      <c r="C44" s="22"/>
      <c r="D44" s="23"/>
      <c r="E44" s="24"/>
      <c r="F44" s="24"/>
      <c r="G44" s="23"/>
    </row>
  </sheetData>
  <customSheetViews>
    <customSheetView guid="{D350F161-6E76-4C68-8C74-453449805C90}" filter="1" showAutoFilter="1">
      <autoFilter ref="$B$8:$F$61">
        <sortState ref="B8:F61">
          <sortCondition ref="C8:C61"/>
        </sortState>
      </autoFilter>
    </customSheetView>
    <customSheetView guid="{E9C06A09-1FCE-460B-B03F-1DEF4008E9FC}" filter="1" showAutoFilter="1">
      <autoFilter ref="$B$8:$F$58">
        <sortState ref="B8:F58">
          <sortCondition ref="C8:C58"/>
        </sortState>
      </autoFilter>
    </customSheetView>
  </customSheetViews>
  <mergeCells count="8">
    <mergeCell ref="A3:G3"/>
    <mergeCell ref="A4:G4"/>
    <mergeCell ref="A6:A7"/>
    <mergeCell ref="B6:B7"/>
    <mergeCell ref="C6:C7"/>
    <mergeCell ref="D6:D7"/>
    <mergeCell ref="E6:F6"/>
    <mergeCell ref="G6:G7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8.75"/>
    <col customWidth="1" min="3" max="3" width="21.25"/>
    <col customWidth="1" min="4" max="4" width="19.5"/>
    <col customWidth="1" min="5" max="5" width="12.25"/>
    <col customWidth="1" min="6" max="6" width="11.0"/>
    <col customWidth="1" min="7" max="7" width="17.75"/>
  </cols>
  <sheetData>
    <row r="1">
      <c r="A1" s="6" t="s">
        <v>49</v>
      </c>
    </row>
    <row r="3">
      <c r="A3" s="8" t="s">
        <v>50</v>
      </c>
    </row>
    <row r="4">
      <c r="A4" s="8" t="s">
        <v>51</v>
      </c>
    </row>
    <row r="6">
      <c r="A6" s="14" t="s">
        <v>52</v>
      </c>
      <c r="B6" s="15" t="s">
        <v>53</v>
      </c>
      <c r="C6" s="14" t="s">
        <v>2</v>
      </c>
      <c r="D6" s="14" t="s">
        <v>3</v>
      </c>
      <c r="E6" s="16" t="s">
        <v>57</v>
      </c>
      <c r="F6" s="17"/>
      <c r="G6" s="14" t="s">
        <v>56</v>
      </c>
    </row>
    <row r="7">
      <c r="A7" s="18"/>
      <c r="B7" s="18"/>
      <c r="C7" s="18"/>
      <c r="D7" s="18"/>
      <c r="E7" s="19" t="s">
        <v>54</v>
      </c>
      <c r="F7" s="19" t="s">
        <v>55</v>
      </c>
      <c r="G7" s="18"/>
    </row>
    <row r="8">
      <c r="A8" s="20">
        <v>1.0</v>
      </c>
      <c r="B8" s="21">
        <f>IFERROR(__xludf.DUMMYFUNCTION("QUERY(IMPORTRANGE($A$1,""Form Responses 1!A2:G""),""select Col2 where Col5='September'"")"),45901.0)</f>
        <v>45901</v>
      </c>
      <c r="C8" s="22" t="str">
        <f>IFERROR(__xludf.DUMMYFUNCTION("QUERY(IMPORTRANGE($A$1,""Form Responses 1!A2:G""),""select Col3 where Col5='September'"")"),"Erik Rahmana")</f>
        <v>Erik Rahmana</v>
      </c>
      <c r="D8" s="22" t="str">
        <f>IFERROR(__xludf.DUMMYFUNCTION("QUERY(IMPORTRANGE($A$1,""Form Responses 1!A2:G""),""select Col4 where Col5='September'"")"),"Volli Ikhwan")</f>
        <v>Volli Ikhwan</v>
      </c>
      <c r="E8" s="24">
        <f>IFERROR(__xludf.DUMMYFUNCTION("QUERY(IMPORTRANGE($A$1,""Form Responses 1!A2:G""),""select Col6 where Col5='September'"")"),0.375)</f>
        <v>0.375</v>
      </c>
      <c r="F8" s="24">
        <f>IFERROR(__xludf.DUMMYFUNCTION("QUERY(IMPORTRANGE($A$1,""Form Responses 1!A2:G""),""select Col7 where Col5='September'"")"),0.5)</f>
        <v>0.5</v>
      </c>
      <c r="G8" s="23"/>
    </row>
    <row r="9">
      <c r="A9" s="20">
        <v>2.0</v>
      </c>
      <c r="B9" s="21">
        <f>IFERROR(__xludf.DUMMYFUNCTION("""COMPUTED_VALUE"""),45901.0)</f>
        <v>45901</v>
      </c>
      <c r="C9" s="22" t="str">
        <f>IFERROR(__xludf.DUMMYFUNCTION("""COMPUTED_VALUE"""),"BUSTAMI ARIPIN, S.Pd.I")</f>
        <v>BUSTAMI ARIPIN, S.Pd.I</v>
      </c>
      <c r="D9" s="22" t="str">
        <f>IFERROR(__xludf.DUMMYFUNCTION("""COMPUTED_VALUE"""),"BAHASA ARAB")</f>
        <v>BAHASA ARAB</v>
      </c>
      <c r="E9" s="24">
        <f>IFERROR(__xludf.DUMMYFUNCTION("""COMPUTED_VALUE"""),0.71875)</f>
        <v>0.71875</v>
      </c>
      <c r="F9" s="24">
        <f>IFERROR(__xludf.DUMMYFUNCTION("""COMPUTED_VALUE"""),0.75)</f>
        <v>0.75</v>
      </c>
      <c r="G9" s="23"/>
    </row>
    <row r="10">
      <c r="A10" s="20">
        <v>3.0</v>
      </c>
      <c r="B10" s="21">
        <f>IFERROR(__xludf.DUMMYFUNCTION("""COMPUTED_VALUE"""),45903.0)</f>
        <v>45903</v>
      </c>
      <c r="C10" s="22" t="str">
        <f>IFERROR(__xludf.DUMMYFUNCTION("""COMPUTED_VALUE"""),"Ikhsan Syamsi")</f>
        <v>Ikhsan Syamsi</v>
      </c>
      <c r="D10" s="22" t="str">
        <f>IFERROR(__xludf.DUMMYFUNCTION("""COMPUTED_VALUE"""),"Silat Ikhwan")</f>
        <v>Silat Ikhwan</v>
      </c>
      <c r="E10" s="24">
        <f>IFERROR(__xludf.DUMMYFUNCTION("""COMPUTED_VALUE"""),0.6597222222226264)</f>
        <v>0.6597222222</v>
      </c>
      <c r="F10" s="24">
        <f>IFERROR(__xludf.DUMMYFUNCTION("""COMPUTED_VALUE"""),0.7083333333321207)</f>
        <v>0.7083333333</v>
      </c>
      <c r="G10" s="23"/>
    </row>
    <row r="11">
      <c r="A11" s="20">
        <v>4.0</v>
      </c>
      <c r="B11" s="21">
        <f>IFERROR(__xludf.DUMMYFUNCTION("""COMPUTED_VALUE"""),45903.0)</f>
        <v>45903</v>
      </c>
      <c r="C11" s="22" t="str">
        <f>IFERROR(__xludf.DUMMYFUNCTION("""COMPUTED_VALUE"""),"Mardiana")</f>
        <v>Mardiana</v>
      </c>
      <c r="D11" s="22" t="str">
        <f>IFERROR(__xludf.DUMMYFUNCTION("""COMPUTED_VALUE"""),"Taekwondo Akhwat")</f>
        <v>Taekwondo Akhwat</v>
      </c>
      <c r="E11" s="24">
        <f>IFERROR(__xludf.DUMMYFUNCTION("""COMPUTED_VALUE"""),0.6458333333321207)</f>
        <v>0.6458333333</v>
      </c>
      <c r="F11" s="24">
        <f>IFERROR(__xludf.DUMMYFUNCTION("""COMPUTED_VALUE"""),0.7083333333321207)</f>
        <v>0.7083333333</v>
      </c>
      <c r="G11" s="23"/>
    </row>
    <row r="12">
      <c r="A12" s="20">
        <v>5.0</v>
      </c>
      <c r="B12" s="21">
        <f>IFERROR(__xludf.DUMMYFUNCTION("""COMPUTED_VALUE"""),45903.0)</f>
        <v>45903</v>
      </c>
      <c r="C12" s="22" t="str">
        <f>IFERROR(__xludf.DUMMYFUNCTION("""COMPUTED_VALUE"""),"Januarti")</f>
        <v>Januarti</v>
      </c>
      <c r="D12" s="22" t="str">
        <f>IFERROR(__xludf.DUMMYFUNCTION("""COMPUTED_VALUE"""),"Karate Akhwat")</f>
        <v>Karate Akhwat</v>
      </c>
      <c r="E12" s="24">
        <f>IFERROR(__xludf.DUMMYFUNCTION("""COMPUTED_VALUE"""),0.6458333333321207)</f>
        <v>0.6458333333</v>
      </c>
      <c r="F12" s="24">
        <f>IFERROR(__xludf.DUMMYFUNCTION("""COMPUTED_VALUE"""),0.7083333333321207)</f>
        <v>0.7083333333</v>
      </c>
      <c r="G12" s="23"/>
    </row>
    <row r="13">
      <c r="A13" s="20">
        <v>6.0</v>
      </c>
      <c r="B13" s="21">
        <f>IFERROR(__xludf.DUMMYFUNCTION("""COMPUTED_VALUE"""),45903.0)</f>
        <v>45903</v>
      </c>
      <c r="C13" s="22" t="str">
        <f>IFERROR(__xludf.DUMMYFUNCTION("""COMPUTED_VALUE"""),"Anisa Sholihat")</f>
        <v>Anisa Sholihat</v>
      </c>
      <c r="D13" s="22" t="str">
        <f>IFERROR(__xludf.DUMMYFUNCTION("""COMPUTED_VALUE"""),"Silat Akhwat")</f>
        <v>Silat Akhwat</v>
      </c>
      <c r="E13" s="24">
        <f>IFERROR(__xludf.DUMMYFUNCTION("""COMPUTED_VALUE"""),0.6784722222218988)</f>
        <v>0.6784722222</v>
      </c>
      <c r="F13" s="24">
        <f>IFERROR(__xludf.DUMMYFUNCTION("""COMPUTED_VALUE"""),0.7083333333321207)</f>
        <v>0.7083333333</v>
      </c>
      <c r="G13" s="23"/>
    </row>
    <row r="14">
      <c r="A14" s="20">
        <v>7.0</v>
      </c>
      <c r="B14" s="21">
        <f>IFERROR(__xludf.DUMMYFUNCTION("""COMPUTED_VALUE"""),45903.0)</f>
        <v>45903</v>
      </c>
      <c r="C14" s="22" t="str">
        <f>IFERROR(__xludf.DUMMYFUNCTION("""COMPUTED_VALUE"""),"M. Rendi Al Furqan")</f>
        <v>M. Rendi Al Furqan</v>
      </c>
      <c r="D14" s="22" t="str">
        <f>IFERROR(__xludf.DUMMYFUNCTION("""COMPUTED_VALUE"""),"Taekwondo Ikhwan")</f>
        <v>Taekwondo Ikhwan</v>
      </c>
      <c r="E14" s="24">
        <f>IFERROR(__xludf.DUMMYFUNCTION("""COMPUTED_VALUE"""),0.6458333333321207)</f>
        <v>0.6458333333</v>
      </c>
      <c r="F14" s="24">
        <f>IFERROR(__xludf.DUMMYFUNCTION("""COMPUTED_VALUE"""),0.7083333333321207)</f>
        <v>0.7083333333</v>
      </c>
      <c r="G14" s="23"/>
    </row>
    <row r="15">
      <c r="A15" s="20">
        <v>8.0</v>
      </c>
      <c r="B15" s="21">
        <f>IFERROR(__xludf.DUMMYFUNCTION("""COMPUTED_VALUE"""),45903.0)</f>
        <v>45903</v>
      </c>
      <c r="C15" s="22" t="str">
        <f>IFERROR(__xludf.DUMMYFUNCTION("""COMPUTED_VALUE"""),"Abang Putra Pratama")</f>
        <v>Abang Putra Pratama</v>
      </c>
      <c r="D15" s="22" t="str">
        <f>IFERROR(__xludf.DUMMYFUNCTION("""COMPUTED_VALUE"""),"Karate Ikhwan")</f>
        <v>Karate Ikhwan</v>
      </c>
      <c r="E15" s="24">
        <f>IFERROR(__xludf.DUMMYFUNCTION("""COMPUTED_VALUE"""),0.6458333333321207)</f>
        <v>0.6458333333</v>
      </c>
      <c r="F15" s="24">
        <f>IFERROR(__xludf.DUMMYFUNCTION("""COMPUTED_VALUE"""),0.7083333333321207)</f>
        <v>0.7083333333</v>
      </c>
      <c r="G15" s="23"/>
    </row>
    <row r="16">
      <c r="A16" s="20">
        <v>9.0</v>
      </c>
      <c r="B16" s="21">
        <f>IFERROR(__xludf.DUMMYFUNCTION("""COMPUTED_VALUE"""),45904.0)</f>
        <v>45904</v>
      </c>
      <c r="C16" s="22" t="str">
        <f>IFERROR(__xludf.DUMMYFUNCTION("""COMPUTED_VALUE"""),"Niyah")</f>
        <v>Niyah</v>
      </c>
      <c r="D16" s="22" t="str">
        <f>IFERROR(__xludf.DUMMYFUNCTION("""COMPUTED_VALUE"""),"Pramuka Akhwat")</f>
        <v>Pramuka Akhwat</v>
      </c>
      <c r="E16" s="24">
        <f>IFERROR(__xludf.DUMMYFUNCTION("""COMPUTED_VALUE"""),0.6458333333321207)</f>
        <v>0.6458333333</v>
      </c>
      <c r="F16" s="24">
        <f>IFERROR(__xludf.DUMMYFUNCTION("""COMPUTED_VALUE"""),0.7083333333321207)</f>
        <v>0.7083333333</v>
      </c>
      <c r="G16" s="23"/>
    </row>
    <row r="17">
      <c r="A17" s="20">
        <v>10.0</v>
      </c>
      <c r="B17" s="21">
        <f>IFERROR(__xludf.DUMMYFUNCTION("""COMPUTED_VALUE"""),45906.0)</f>
        <v>45906</v>
      </c>
      <c r="C17" s="22" t="str">
        <f>IFERROR(__xludf.DUMMYFUNCTION("""COMPUTED_VALUE"""),"PAISAL, M.Pd")</f>
        <v>PAISAL, M.Pd</v>
      </c>
      <c r="D17" s="22" t="str">
        <f>IFERROR(__xludf.DUMMYFUNCTION("""COMPUTED_VALUE"""),"English Club Ikhwan")</f>
        <v>English Club Ikhwan</v>
      </c>
      <c r="E17" s="24">
        <f>IFERROR(__xludf.DUMMYFUNCTION("""COMPUTED_VALUE"""),0.375)</f>
        <v>0.375</v>
      </c>
      <c r="F17" s="24">
        <f>IFERROR(__xludf.DUMMYFUNCTION("""COMPUTED_VALUE"""),0.4895833333321207)</f>
        <v>0.4895833333</v>
      </c>
      <c r="G17" s="23"/>
    </row>
    <row r="18">
      <c r="A18" s="20">
        <v>11.0</v>
      </c>
      <c r="B18" s="21">
        <f>IFERROR(__xludf.DUMMYFUNCTION("""COMPUTED_VALUE"""),45906.0)</f>
        <v>45906</v>
      </c>
      <c r="C18" s="22" t="str">
        <f>IFERROR(__xludf.DUMMYFUNCTION("""COMPUTED_VALUE"""),"Fikry")</f>
        <v>Fikry</v>
      </c>
      <c r="D18" s="22" t="str">
        <f>IFERROR(__xludf.DUMMYFUNCTION("""COMPUTED_VALUE"""),"Desain Poster  Ikhwan")</f>
        <v>Desain Poster  Ikhwan</v>
      </c>
      <c r="E18" s="24">
        <f>IFERROR(__xludf.DUMMYFUNCTION("""COMPUTED_VALUE"""),0.3958333333321207)</f>
        <v>0.3958333333</v>
      </c>
      <c r="F18" s="24">
        <f>IFERROR(__xludf.DUMMYFUNCTION("""COMPUTED_VALUE"""),0.46527777777737356)</f>
        <v>0.4652777778</v>
      </c>
      <c r="G18" s="23"/>
    </row>
    <row r="19">
      <c r="A19" s="20">
        <v>12.0</v>
      </c>
      <c r="B19" s="21">
        <f>IFERROR(__xludf.DUMMYFUNCTION("""COMPUTED_VALUE"""),45906.0)</f>
        <v>45906</v>
      </c>
      <c r="C19" s="22" t="str">
        <f>IFERROR(__xludf.DUMMYFUNCTION("""COMPUTED_VALUE"""),"Erik Rahmana")</f>
        <v>Erik Rahmana</v>
      </c>
      <c r="D19" s="22" t="str">
        <f>IFERROR(__xludf.DUMMYFUNCTION("""COMPUTED_VALUE"""),"Volli Ikhwan")</f>
        <v>Volli Ikhwan</v>
      </c>
      <c r="E19" s="24">
        <f>IFERROR(__xludf.DUMMYFUNCTION("""COMPUTED_VALUE"""),0.3194444444452529)</f>
        <v>0.3194444444</v>
      </c>
      <c r="F19" s="24">
        <f>IFERROR(__xludf.DUMMYFUNCTION("""COMPUTED_VALUE"""),0.3854166666678793)</f>
        <v>0.3854166667</v>
      </c>
      <c r="G19" s="23"/>
    </row>
    <row r="20">
      <c r="A20" s="20">
        <v>13.0</v>
      </c>
      <c r="B20" s="21">
        <f>IFERROR(__xludf.DUMMYFUNCTION("""COMPUTED_VALUE"""),45908.0)</f>
        <v>45908</v>
      </c>
      <c r="C20" s="22" t="str">
        <f>IFERROR(__xludf.DUMMYFUNCTION("""COMPUTED_VALUE"""),"BUSTAMI ARIPIN, S.Pd.I")</f>
        <v>BUSTAMI ARIPIN, S.Pd.I</v>
      </c>
      <c r="D20" s="22" t="str">
        <f>IFERROR(__xludf.DUMMYFUNCTION("""COMPUTED_VALUE"""),"BAHASA ARAB")</f>
        <v>BAHASA ARAB</v>
      </c>
      <c r="E20" s="24">
        <f>IFERROR(__xludf.DUMMYFUNCTION("""COMPUTED_VALUE"""),0.7152777777773736)</f>
        <v>0.7152777778</v>
      </c>
      <c r="F20" s="24">
        <f>IFERROR(__xludf.DUMMYFUNCTION("""COMPUTED_VALUE"""),0.7534722222226264)</f>
        <v>0.7534722222</v>
      </c>
      <c r="G20" s="23"/>
    </row>
    <row r="21">
      <c r="A21" s="20">
        <v>14.0</v>
      </c>
      <c r="B21" s="21">
        <f>IFERROR(__xludf.DUMMYFUNCTION("""COMPUTED_VALUE"""),45910.0)</f>
        <v>45910</v>
      </c>
      <c r="C21" s="22" t="str">
        <f>IFERROR(__xludf.DUMMYFUNCTION("""COMPUTED_VALUE"""),"Abang Putra Pratama")</f>
        <v>Abang Putra Pratama</v>
      </c>
      <c r="D21" s="22" t="str">
        <f>IFERROR(__xludf.DUMMYFUNCTION("""COMPUTED_VALUE"""),"Karate Ikhwan")</f>
        <v>Karate Ikhwan</v>
      </c>
      <c r="E21" s="24">
        <f>IFERROR(__xludf.DUMMYFUNCTION("""COMPUTED_VALUE"""),0.6458333333321207)</f>
        <v>0.6458333333</v>
      </c>
      <c r="F21" s="24">
        <f>IFERROR(__xludf.DUMMYFUNCTION("""COMPUTED_VALUE"""),0.7083333333321207)</f>
        <v>0.7083333333</v>
      </c>
      <c r="G21" s="23"/>
    </row>
    <row r="22">
      <c r="A22" s="20">
        <v>15.0</v>
      </c>
      <c r="B22" s="21">
        <f>IFERROR(__xludf.DUMMYFUNCTION("""COMPUTED_VALUE"""),45910.0)</f>
        <v>45910</v>
      </c>
      <c r="C22" s="22" t="str">
        <f>IFERROR(__xludf.DUMMYFUNCTION("""COMPUTED_VALUE"""),"M. Rendi Al Furqan")</f>
        <v>M. Rendi Al Furqan</v>
      </c>
      <c r="D22" s="22" t="str">
        <f>IFERROR(__xludf.DUMMYFUNCTION("""COMPUTED_VALUE"""),"Taekwondo Ikhwan")</f>
        <v>Taekwondo Ikhwan</v>
      </c>
      <c r="E22" s="24">
        <f>IFERROR(__xludf.DUMMYFUNCTION("""COMPUTED_VALUE"""),0.6458333333321207)</f>
        <v>0.6458333333</v>
      </c>
      <c r="F22" s="24">
        <f>IFERROR(__xludf.DUMMYFUNCTION("""COMPUTED_VALUE"""),0.7083333333321207)</f>
        <v>0.7083333333</v>
      </c>
      <c r="G22" s="23"/>
    </row>
    <row r="23">
      <c r="A23" s="20">
        <v>16.0</v>
      </c>
      <c r="B23" s="21">
        <f>IFERROR(__xludf.DUMMYFUNCTION("""COMPUTED_VALUE"""),45911.0)</f>
        <v>45911</v>
      </c>
      <c r="C23" s="22" t="str">
        <f>IFERROR(__xludf.DUMMYFUNCTION("""COMPUTED_VALUE"""),"Niyah")</f>
        <v>Niyah</v>
      </c>
      <c r="D23" s="22" t="str">
        <f>IFERROR(__xludf.DUMMYFUNCTION("""COMPUTED_VALUE"""),"Pramuka Akhwat")</f>
        <v>Pramuka Akhwat</v>
      </c>
      <c r="E23" s="24">
        <f>IFERROR(__xludf.DUMMYFUNCTION("""COMPUTED_VALUE"""),0.6458333333321207)</f>
        <v>0.6458333333</v>
      </c>
      <c r="F23" s="24">
        <f>IFERROR(__xludf.DUMMYFUNCTION("""COMPUTED_VALUE"""),0.7083333333321207)</f>
        <v>0.7083333333</v>
      </c>
      <c r="G23" s="23"/>
    </row>
    <row r="24">
      <c r="A24" s="20">
        <v>17.0</v>
      </c>
      <c r="B24" s="21">
        <f>IFERROR(__xludf.DUMMYFUNCTION("""COMPUTED_VALUE"""),45913.0)</f>
        <v>45913</v>
      </c>
      <c r="C24" s="22" t="str">
        <f>IFERROR(__xludf.DUMMYFUNCTION("""COMPUTED_VALUE"""),"RIDHA  NURHALIZA")</f>
        <v>RIDHA  NURHALIZA</v>
      </c>
      <c r="D24" s="22" t="str">
        <f>IFERROR(__xludf.DUMMYFUNCTION("""COMPUTED_VALUE"""),"Jurnalistik Akhwat")</f>
        <v>Jurnalistik Akhwat</v>
      </c>
      <c r="E24" s="24">
        <f>IFERROR(__xludf.DUMMYFUNCTION("""COMPUTED_VALUE"""),0.3333333333321207)</f>
        <v>0.3333333333</v>
      </c>
      <c r="F24" s="24">
        <f>IFERROR(__xludf.DUMMYFUNCTION("""COMPUTED_VALUE"""),0.4166666666678793)</f>
        <v>0.4166666667</v>
      </c>
      <c r="G24" s="23"/>
    </row>
    <row r="25">
      <c r="A25" s="20">
        <v>18.0</v>
      </c>
      <c r="B25" s="21">
        <f>IFERROR(__xludf.DUMMYFUNCTION("""COMPUTED_VALUE"""),45906.0)</f>
        <v>45906</v>
      </c>
      <c r="C25" s="22" t="str">
        <f>IFERROR(__xludf.DUMMYFUNCTION("""COMPUTED_VALUE"""),"Ririn Rahmayanti")</f>
        <v>Ririn Rahmayanti</v>
      </c>
      <c r="D25" s="22" t="str">
        <f>IFERROR(__xludf.DUMMYFUNCTION("""COMPUTED_VALUE"""),"English Club Akhwat")</f>
        <v>English Club Akhwat</v>
      </c>
      <c r="E25" s="24">
        <f>IFERROR(__xludf.DUMMYFUNCTION("""COMPUTED_VALUE"""),0.375)</f>
        <v>0.375</v>
      </c>
      <c r="F25" s="24">
        <f>IFERROR(__xludf.DUMMYFUNCTION("""COMPUTED_VALUE"""),0.4583333333321207)</f>
        <v>0.4583333333</v>
      </c>
      <c r="G25" s="23"/>
    </row>
    <row r="26">
      <c r="A26" s="20">
        <v>19.0</v>
      </c>
      <c r="B26" s="21">
        <f>IFERROR(__xludf.DUMMYFUNCTION("""COMPUTED_VALUE"""),45913.0)</f>
        <v>45913</v>
      </c>
      <c r="C26" s="22" t="str">
        <f>IFERROR(__xludf.DUMMYFUNCTION("""COMPUTED_VALUE"""),"Ririn Rahmayanti")</f>
        <v>Ririn Rahmayanti</v>
      </c>
      <c r="D26" s="22" t="str">
        <f>IFERROR(__xludf.DUMMYFUNCTION("""COMPUTED_VALUE"""),"English Club Akhwat")</f>
        <v>English Club Akhwat</v>
      </c>
      <c r="E26" s="24">
        <f>IFERROR(__xludf.DUMMYFUNCTION("""COMPUTED_VALUE"""),0.375)</f>
        <v>0.375</v>
      </c>
      <c r="F26" s="24">
        <f>IFERROR(__xludf.DUMMYFUNCTION("""COMPUTED_VALUE"""),0.4583333333321207)</f>
        <v>0.4583333333</v>
      </c>
      <c r="G26" s="23"/>
    </row>
    <row r="27">
      <c r="A27" s="20">
        <v>20.0</v>
      </c>
      <c r="B27" s="21">
        <f>IFERROR(__xludf.DUMMYFUNCTION("""COMPUTED_VALUE"""),45913.0)</f>
        <v>45913</v>
      </c>
      <c r="C27" s="22" t="str">
        <f>IFERROR(__xludf.DUMMYFUNCTION("""COMPUTED_VALUE"""),"Yuyun Rusmita")</f>
        <v>Yuyun Rusmita</v>
      </c>
      <c r="D27" s="22" t="str">
        <f>IFERROR(__xludf.DUMMYFUNCTION("""COMPUTED_VALUE"""),"Volli Akhwat")</f>
        <v>Volli Akhwat</v>
      </c>
      <c r="E27" s="24">
        <f>IFERROR(__xludf.DUMMYFUNCTION("""COMPUTED_VALUE"""),0.29861111110949423)</f>
        <v>0.2986111111</v>
      </c>
      <c r="F27" s="24">
        <f>IFERROR(__xludf.DUMMYFUNCTION("""COMPUTED_VALUE"""),0.3819444444452529)</f>
        <v>0.3819444444</v>
      </c>
      <c r="G27" s="23"/>
    </row>
    <row r="28">
      <c r="A28" s="20">
        <v>21.0</v>
      </c>
      <c r="B28" s="21">
        <f>IFERROR(__xludf.DUMMYFUNCTION("""COMPUTED_VALUE"""),45913.0)</f>
        <v>45913</v>
      </c>
      <c r="C28" s="22" t="str">
        <f>IFERROR(__xludf.DUMMYFUNCTION("""COMPUTED_VALUE"""),"APRIYANTI")</f>
        <v>APRIYANTI</v>
      </c>
      <c r="D28" s="22" t="str">
        <f>IFERROR(__xludf.DUMMYFUNCTION("""COMPUTED_VALUE"""),"Desain Poster AKhwat")</f>
        <v>Desain Poster AKhwat</v>
      </c>
      <c r="E28" s="24">
        <f>IFERROR(__xludf.DUMMYFUNCTION("""COMPUTED_VALUE"""),0.4166666666678793)</f>
        <v>0.4166666667</v>
      </c>
      <c r="F28" s="24">
        <f>IFERROR(__xludf.DUMMYFUNCTION("""COMPUTED_VALUE"""),0.5)</f>
        <v>0.5</v>
      </c>
      <c r="G28" s="23"/>
    </row>
    <row r="29">
      <c r="A29" s="20">
        <v>22.0</v>
      </c>
      <c r="B29" s="21">
        <f>IFERROR(__xludf.DUMMYFUNCTION("""COMPUTED_VALUE"""),45917.0)</f>
        <v>45917</v>
      </c>
      <c r="C29" s="22" t="str">
        <f>IFERROR(__xludf.DUMMYFUNCTION("""COMPUTED_VALUE"""),"Mardiana")</f>
        <v>Mardiana</v>
      </c>
      <c r="D29" s="22" t="str">
        <f>IFERROR(__xludf.DUMMYFUNCTION("""COMPUTED_VALUE"""),"Taekwondo Akhwat")</f>
        <v>Taekwondo Akhwat</v>
      </c>
      <c r="E29" s="24">
        <f>IFERROR(__xludf.DUMMYFUNCTION("""COMPUTED_VALUE"""),0.6458333333321207)</f>
        <v>0.6458333333</v>
      </c>
      <c r="F29" s="24">
        <f>IFERROR(__xludf.DUMMYFUNCTION("""COMPUTED_VALUE"""),0.7083333333321207)</f>
        <v>0.7083333333</v>
      </c>
      <c r="G29" s="23"/>
    </row>
    <row r="30">
      <c r="A30" s="20">
        <v>23.0</v>
      </c>
      <c r="B30" s="21">
        <f>IFERROR(__xludf.DUMMYFUNCTION("""COMPUTED_VALUE"""),45917.0)</f>
        <v>45917</v>
      </c>
      <c r="C30" s="22" t="str">
        <f>IFERROR(__xludf.DUMMYFUNCTION("""COMPUTED_VALUE"""),"Januarti")</f>
        <v>Januarti</v>
      </c>
      <c r="D30" s="22" t="str">
        <f>IFERROR(__xludf.DUMMYFUNCTION("""COMPUTED_VALUE"""),"Karate Akhwat")</f>
        <v>Karate Akhwat</v>
      </c>
      <c r="E30" s="24">
        <f>IFERROR(__xludf.DUMMYFUNCTION("""COMPUTED_VALUE"""),0.6458333333321207)</f>
        <v>0.6458333333</v>
      </c>
      <c r="F30" s="24">
        <f>IFERROR(__xludf.DUMMYFUNCTION("""COMPUTED_VALUE"""),0.7083333333321207)</f>
        <v>0.7083333333</v>
      </c>
      <c r="G30" s="23"/>
    </row>
    <row r="31">
      <c r="A31" s="20">
        <v>24.0</v>
      </c>
      <c r="B31" s="21">
        <f>IFERROR(__xludf.DUMMYFUNCTION("""COMPUTED_VALUE"""),45917.0)</f>
        <v>45917</v>
      </c>
      <c r="C31" s="22" t="str">
        <f>IFERROR(__xludf.DUMMYFUNCTION("""COMPUTED_VALUE"""),"Abang Putra Pratama")</f>
        <v>Abang Putra Pratama</v>
      </c>
      <c r="D31" s="22" t="str">
        <f>IFERROR(__xludf.DUMMYFUNCTION("""COMPUTED_VALUE"""),"Karate Ikhwan")</f>
        <v>Karate Ikhwan</v>
      </c>
      <c r="E31" s="24">
        <f>IFERROR(__xludf.DUMMYFUNCTION("""COMPUTED_VALUE"""),0.6458333333321207)</f>
        <v>0.6458333333</v>
      </c>
      <c r="F31" s="24">
        <f>IFERROR(__xludf.DUMMYFUNCTION("""COMPUTED_VALUE"""),0.7083333333321207)</f>
        <v>0.7083333333</v>
      </c>
      <c r="G31" s="23"/>
    </row>
    <row r="32">
      <c r="A32" s="20">
        <v>25.0</v>
      </c>
      <c r="B32" s="21">
        <f>IFERROR(__xludf.DUMMYFUNCTION("""COMPUTED_VALUE"""),45917.0)</f>
        <v>45917</v>
      </c>
      <c r="C32" s="22" t="str">
        <f>IFERROR(__xludf.DUMMYFUNCTION("""COMPUTED_VALUE"""),"Anisa Sholihat")</f>
        <v>Anisa Sholihat</v>
      </c>
      <c r="D32" s="22" t="str">
        <f>IFERROR(__xludf.DUMMYFUNCTION("""COMPUTED_VALUE"""),"Silat Akhwat")</f>
        <v>Silat Akhwat</v>
      </c>
      <c r="E32" s="24">
        <f>IFERROR(__xludf.DUMMYFUNCTION("""COMPUTED_VALUE"""),0.6666666666678793)</f>
        <v>0.6666666667</v>
      </c>
      <c r="F32" s="24">
        <f>IFERROR(__xludf.DUMMYFUNCTION("""COMPUTED_VALUE"""),0.7083333333321207)</f>
        <v>0.7083333333</v>
      </c>
      <c r="G32" s="23"/>
    </row>
    <row r="33">
      <c r="A33" s="20">
        <v>26.0</v>
      </c>
      <c r="B33" s="21">
        <f>IFERROR(__xludf.DUMMYFUNCTION("""COMPUTED_VALUE"""),45918.0)</f>
        <v>45918</v>
      </c>
      <c r="C33" s="22" t="str">
        <f>IFERROR(__xludf.DUMMYFUNCTION("""COMPUTED_VALUE"""),"Niyah")</f>
        <v>Niyah</v>
      </c>
      <c r="D33" s="22" t="str">
        <f>IFERROR(__xludf.DUMMYFUNCTION("""COMPUTED_VALUE"""),"Pramuka Akhwat")</f>
        <v>Pramuka Akhwat</v>
      </c>
      <c r="E33" s="24">
        <f>IFERROR(__xludf.DUMMYFUNCTION("""COMPUTED_VALUE"""),0.6458333333321207)</f>
        <v>0.6458333333</v>
      </c>
      <c r="F33" s="24">
        <f>IFERROR(__xludf.DUMMYFUNCTION("""COMPUTED_VALUE"""),0.7083333333321207)</f>
        <v>0.7083333333</v>
      </c>
      <c r="G33" s="23"/>
    </row>
    <row r="34">
      <c r="A34" s="20">
        <v>27.0</v>
      </c>
      <c r="B34" s="21">
        <f>IFERROR(__xludf.DUMMYFUNCTION("""COMPUTED_VALUE"""),45920.0)</f>
        <v>45920</v>
      </c>
      <c r="C34" s="22" t="str">
        <f>IFERROR(__xludf.DUMMYFUNCTION("""COMPUTED_VALUE"""),"PAISAL, M.Pd")</f>
        <v>PAISAL, M.Pd</v>
      </c>
      <c r="D34" s="22" t="str">
        <f>IFERROR(__xludf.DUMMYFUNCTION("""COMPUTED_VALUE"""),"English Club Ikhwan")</f>
        <v>English Club Ikhwan</v>
      </c>
      <c r="E34" s="24">
        <f>IFERROR(__xludf.DUMMYFUNCTION("""COMPUTED_VALUE"""),0.375)</f>
        <v>0.375</v>
      </c>
      <c r="F34" s="24">
        <f>IFERROR(__xludf.DUMMYFUNCTION("""COMPUTED_VALUE"""),0.4583333333321207)</f>
        <v>0.4583333333</v>
      </c>
      <c r="G34" s="23"/>
    </row>
    <row r="35">
      <c r="A35" s="20">
        <v>28.0</v>
      </c>
      <c r="B35" s="21">
        <f>IFERROR(__xludf.DUMMYFUNCTION("""COMPUTED_VALUE"""),45920.0)</f>
        <v>45920</v>
      </c>
      <c r="C35" s="22" t="str">
        <f>IFERROR(__xludf.DUMMYFUNCTION("""COMPUTED_VALUE"""),"RIDHA  NURHALIZA")</f>
        <v>RIDHA  NURHALIZA</v>
      </c>
      <c r="D35" s="22" t="str">
        <f>IFERROR(__xludf.DUMMYFUNCTION("""COMPUTED_VALUE"""),"Jurnalistik Akhwat")</f>
        <v>Jurnalistik Akhwat</v>
      </c>
      <c r="E35" s="24">
        <f>IFERROR(__xludf.DUMMYFUNCTION("""COMPUTED_VALUE"""),0.4305555555547471)</f>
        <v>0.4305555556</v>
      </c>
      <c r="F35" s="24">
        <f>IFERROR(__xludf.DUMMYFUNCTION("""COMPUTED_VALUE"""),0.5)</f>
        <v>0.5</v>
      </c>
      <c r="G35" s="23"/>
    </row>
    <row r="36">
      <c r="A36" s="20">
        <v>29.0</v>
      </c>
      <c r="B36" s="21">
        <f>IFERROR(__xludf.DUMMYFUNCTION("""COMPUTED_VALUE"""),45913.0)</f>
        <v>45913</v>
      </c>
      <c r="C36" s="22" t="str">
        <f>IFERROR(__xludf.DUMMYFUNCTION("""COMPUTED_VALUE"""),"Ririn Rahmayanti")</f>
        <v>Ririn Rahmayanti</v>
      </c>
      <c r="D36" s="22" t="str">
        <f>IFERROR(__xludf.DUMMYFUNCTION("""COMPUTED_VALUE"""),"English Club Akhwat")</f>
        <v>English Club Akhwat</v>
      </c>
      <c r="E36" s="24">
        <f>IFERROR(__xludf.DUMMYFUNCTION("""COMPUTED_VALUE"""),0.375)</f>
        <v>0.375</v>
      </c>
      <c r="F36" s="24">
        <f>IFERROR(__xludf.DUMMYFUNCTION("""COMPUTED_VALUE"""),0.4583333333321207)</f>
        <v>0.4583333333</v>
      </c>
      <c r="G36" s="23"/>
    </row>
    <row r="37">
      <c r="A37" s="20">
        <v>30.0</v>
      </c>
      <c r="B37" s="21">
        <f>IFERROR(__xludf.DUMMYFUNCTION("""COMPUTED_VALUE"""),45920.0)</f>
        <v>45920</v>
      </c>
      <c r="C37" s="22" t="str">
        <f>IFERROR(__xludf.DUMMYFUNCTION("""COMPUTED_VALUE"""),"Ririn Rahmayanti")</f>
        <v>Ririn Rahmayanti</v>
      </c>
      <c r="D37" s="22" t="str">
        <f>IFERROR(__xludf.DUMMYFUNCTION("""COMPUTED_VALUE"""),"English Club Akhwat")</f>
        <v>English Club Akhwat</v>
      </c>
      <c r="E37" s="24">
        <f>IFERROR(__xludf.DUMMYFUNCTION("""COMPUTED_VALUE"""),0.375)</f>
        <v>0.375</v>
      </c>
      <c r="F37" s="24">
        <f>IFERROR(__xludf.DUMMYFUNCTION("""COMPUTED_VALUE"""),0.4583333333321207)</f>
        <v>0.4583333333</v>
      </c>
      <c r="G37" s="23"/>
    </row>
    <row r="38">
      <c r="A38" s="20">
        <v>31.0</v>
      </c>
      <c r="B38" s="21">
        <f>IFERROR(__xludf.DUMMYFUNCTION("""COMPUTED_VALUE"""),45920.0)</f>
        <v>45920</v>
      </c>
      <c r="C38" s="22" t="str">
        <f>IFERROR(__xludf.DUMMYFUNCTION("""COMPUTED_VALUE"""),"Yuyun Rusmita")</f>
        <v>Yuyun Rusmita</v>
      </c>
      <c r="D38" s="22" t="str">
        <f>IFERROR(__xludf.DUMMYFUNCTION("""COMPUTED_VALUE"""),"Volli Akhwat")</f>
        <v>Volli Akhwat</v>
      </c>
      <c r="E38" s="24">
        <f>IFERROR(__xludf.DUMMYFUNCTION("""COMPUTED_VALUE"""),0.29861111110949423)</f>
        <v>0.2986111111</v>
      </c>
      <c r="F38" s="24">
        <f>IFERROR(__xludf.DUMMYFUNCTION("""COMPUTED_VALUE"""),0.3819444444452529)</f>
        <v>0.3819444444</v>
      </c>
      <c r="G38" s="23"/>
    </row>
    <row r="39">
      <c r="A39" s="20">
        <v>32.0</v>
      </c>
      <c r="B39" s="21">
        <f>IFERROR(__xludf.DUMMYFUNCTION("""COMPUTED_VALUE"""),45920.0)</f>
        <v>45920</v>
      </c>
      <c r="C39" s="22" t="str">
        <f>IFERROR(__xludf.DUMMYFUNCTION("""COMPUTED_VALUE"""),"Erik Rahmana")</f>
        <v>Erik Rahmana</v>
      </c>
      <c r="D39" s="22" t="str">
        <f>IFERROR(__xludf.DUMMYFUNCTION("""COMPUTED_VALUE"""),"Volli Ikhwan")</f>
        <v>Volli Ikhwan</v>
      </c>
      <c r="E39" s="24">
        <f>IFERROR(__xludf.DUMMYFUNCTION("""COMPUTED_VALUE"""),0.3125)</f>
        <v>0.3125</v>
      </c>
      <c r="F39" s="24">
        <f>IFERROR(__xludf.DUMMYFUNCTION("""COMPUTED_VALUE"""),0.3854166666678793)</f>
        <v>0.3854166667</v>
      </c>
      <c r="G39" s="23"/>
    </row>
    <row r="40">
      <c r="A40" s="20">
        <v>33.0</v>
      </c>
      <c r="B40" s="21">
        <f>IFERROR(__xludf.DUMMYFUNCTION("""COMPUTED_VALUE"""),45920.0)</f>
        <v>45920</v>
      </c>
      <c r="C40" s="22" t="str">
        <f>IFERROR(__xludf.DUMMYFUNCTION("""COMPUTED_VALUE"""),"APSARI TRI RAHAYU")</f>
        <v>APSARI TRI RAHAYU</v>
      </c>
      <c r="D40" s="22" t="str">
        <f>IFERROR(__xludf.DUMMYFUNCTION("""COMPUTED_VALUE"""),"Panahan Akhwat")</f>
        <v>Panahan Akhwat</v>
      </c>
      <c r="E40" s="24">
        <f>IFERROR(__xludf.DUMMYFUNCTION("""COMPUTED_VALUE"""),0.2916666666678793)</f>
        <v>0.2916666667</v>
      </c>
      <c r="F40" s="24">
        <f>IFERROR(__xludf.DUMMYFUNCTION("""COMPUTED_VALUE"""),0.375)</f>
        <v>0.375</v>
      </c>
      <c r="G40" s="23"/>
    </row>
    <row r="41">
      <c r="A41" s="20">
        <v>34.0</v>
      </c>
      <c r="B41" s="21">
        <f>IFERROR(__xludf.DUMMYFUNCTION("""COMPUTED_VALUE"""),45920.0)</f>
        <v>45920</v>
      </c>
      <c r="C41" s="22" t="str">
        <f>IFERROR(__xludf.DUMMYFUNCTION("""COMPUTED_VALUE"""),"Fikry")</f>
        <v>Fikry</v>
      </c>
      <c r="D41" s="23" t="str">
        <f>IFERROR(__xludf.DUMMYFUNCTION("""COMPUTED_VALUE"""),"Desain Poster  Ikhwan")</f>
        <v>Desain Poster  Ikhwan</v>
      </c>
      <c r="E41" s="24">
        <f>IFERROR(__xludf.DUMMYFUNCTION("""COMPUTED_VALUE"""),0.3958333333321207)</f>
        <v>0.3958333333</v>
      </c>
      <c r="F41" s="24">
        <f>IFERROR(__xludf.DUMMYFUNCTION("""COMPUTED_VALUE"""),0.46875)</f>
        <v>0.46875</v>
      </c>
      <c r="G41" s="23"/>
    </row>
    <row r="42">
      <c r="A42" s="20">
        <v>35.0</v>
      </c>
      <c r="B42" s="21">
        <f>IFERROR(__xludf.DUMMYFUNCTION("""COMPUTED_VALUE"""),45906.0)</f>
        <v>45906</v>
      </c>
      <c r="C42" s="22" t="str">
        <f>IFERROR(__xludf.DUMMYFUNCTION("""COMPUTED_VALUE"""),"Erik Rahmana")</f>
        <v>Erik Rahmana</v>
      </c>
      <c r="D42" s="23" t="str">
        <f>IFERROR(__xludf.DUMMYFUNCTION("""COMPUTED_VALUE"""),"Volli Ikhwan")</f>
        <v>Volli Ikhwan</v>
      </c>
      <c r="E42" s="24">
        <f>IFERROR(__xludf.DUMMYFUNCTION("""COMPUTED_VALUE"""),0.3125)</f>
        <v>0.3125</v>
      </c>
      <c r="F42" s="24">
        <f>IFERROR(__xludf.DUMMYFUNCTION("""COMPUTED_VALUE"""),0.3854166666678793)</f>
        <v>0.3854166667</v>
      </c>
      <c r="G42" s="23"/>
    </row>
    <row r="43">
      <c r="A43" s="20">
        <v>36.0</v>
      </c>
      <c r="B43" s="21">
        <f>IFERROR(__xludf.DUMMYFUNCTION("""COMPUTED_VALUE"""),45922.0)</f>
        <v>45922</v>
      </c>
      <c r="C43" s="22" t="str">
        <f>IFERROR(__xludf.DUMMYFUNCTION("""COMPUTED_VALUE"""),"BUSTAMI ARIPIN, S.Pd.I")</f>
        <v>BUSTAMI ARIPIN, S.Pd.I</v>
      </c>
      <c r="D43" s="23" t="str">
        <f>IFERROR(__xludf.DUMMYFUNCTION("""COMPUTED_VALUE"""),"BAHASA ARAB")</f>
        <v>BAHASA ARAB</v>
      </c>
      <c r="E43" s="24">
        <f>IFERROR(__xludf.DUMMYFUNCTION("""COMPUTED_VALUE"""),0.7152777777773736)</f>
        <v>0.7152777778</v>
      </c>
      <c r="F43" s="24">
        <f>IFERROR(__xludf.DUMMYFUNCTION("""COMPUTED_VALUE"""),0.75)</f>
        <v>0.75</v>
      </c>
      <c r="G43" s="23"/>
    </row>
    <row r="44">
      <c r="A44" s="20">
        <v>37.0</v>
      </c>
      <c r="B44" s="21">
        <f>IFERROR(__xludf.DUMMYFUNCTION("""COMPUTED_VALUE"""),45924.0)</f>
        <v>45924</v>
      </c>
      <c r="C44" s="22" t="str">
        <f>IFERROR(__xludf.DUMMYFUNCTION("""COMPUTED_VALUE"""),"Anisa Sholihat")</f>
        <v>Anisa Sholihat</v>
      </c>
      <c r="D44" s="23" t="str">
        <f>IFERROR(__xludf.DUMMYFUNCTION("""COMPUTED_VALUE"""),"Silat Akhwat")</f>
        <v>Silat Akhwat</v>
      </c>
      <c r="E44" s="24">
        <f>IFERROR(__xludf.DUMMYFUNCTION("""COMPUTED_VALUE"""),0.6666666666678793)</f>
        <v>0.6666666667</v>
      </c>
      <c r="F44" s="24">
        <f>IFERROR(__xludf.DUMMYFUNCTION("""COMPUTED_VALUE"""),0.7083333333321207)</f>
        <v>0.7083333333</v>
      </c>
      <c r="G44" s="23"/>
    </row>
    <row r="45">
      <c r="B45" s="25">
        <f>IFERROR(__xludf.DUMMYFUNCTION("""COMPUTED_VALUE"""),45924.0)</f>
        <v>45924</v>
      </c>
      <c r="C45" s="26" t="str">
        <f>IFERROR(__xludf.DUMMYFUNCTION("""COMPUTED_VALUE"""),"M. Rendi Al Furqan")</f>
        <v>M. Rendi Al Furqan</v>
      </c>
      <c r="D45" s="26" t="str">
        <f>IFERROR(__xludf.DUMMYFUNCTION("""COMPUTED_VALUE"""),"Taekwondo Ikhwan")</f>
        <v>Taekwondo Ikhwan</v>
      </c>
      <c r="E45" s="27">
        <f>IFERROR(__xludf.DUMMYFUNCTION("""COMPUTED_VALUE"""),0.6458333333321207)</f>
        <v>0.6458333333</v>
      </c>
      <c r="F45" s="27">
        <f>IFERROR(__xludf.DUMMYFUNCTION("""COMPUTED_VALUE"""),0.7083333333321207)</f>
        <v>0.7083333333</v>
      </c>
    </row>
    <row r="46">
      <c r="B46" s="25">
        <f>IFERROR(__xludf.DUMMYFUNCTION("""COMPUTED_VALUE"""),45924.0)</f>
        <v>45924</v>
      </c>
      <c r="C46" s="26" t="str">
        <f>IFERROR(__xludf.DUMMYFUNCTION("""COMPUTED_VALUE"""),"Januarti")</f>
        <v>Januarti</v>
      </c>
      <c r="D46" s="26" t="str">
        <f>IFERROR(__xludf.DUMMYFUNCTION("""COMPUTED_VALUE"""),"Karate Akhwat")</f>
        <v>Karate Akhwat</v>
      </c>
      <c r="E46" s="27">
        <f>IFERROR(__xludf.DUMMYFUNCTION("""COMPUTED_VALUE"""),0.6458333333321207)</f>
        <v>0.6458333333</v>
      </c>
      <c r="F46" s="27">
        <f>IFERROR(__xludf.DUMMYFUNCTION("""COMPUTED_VALUE"""),0.7083333333321207)</f>
        <v>0.7083333333</v>
      </c>
    </row>
    <row r="47">
      <c r="B47" s="25">
        <f>IFERROR(__xludf.DUMMYFUNCTION("""COMPUTED_VALUE"""),45926.0)</f>
        <v>45926</v>
      </c>
      <c r="C47" s="26" t="str">
        <f>IFERROR(__xludf.DUMMYFUNCTION("""COMPUTED_VALUE"""),"Firman Ananda")</f>
        <v>Firman Ananda</v>
      </c>
      <c r="D47" s="26" t="str">
        <f>IFERROR(__xludf.DUMMYFUNCTION("""COMPUTED_VALUE"""),"Paskibra")</f>
        <v>Paskibra</v>
      </c>
      <c r="E47" s="27">
        <f>IFERROR(__xludf.DUMMYFUNCTION("""COMPUTED_VALUE"""),0.6458333333321207)</f>
        <v>0.6458333333</v>
      </c>
      <c r="F47" s="27">
        <f>IFERROR(__xludf.DUMMYFUNCTION("""COMPUTED_VALUE"""),0.7083333333321207)</f>
        <v>0.7083333333</v>
      </c>
    </row>
    <row r="48">
      <c r="B48" s="25">
        <f>IFERROR(__xludf.DUMMYFUNCTION("""COMPUTED_VALUE"""),45924.0)</f>
        <v>45924</v>
      </c>
      <c r="C48" s="26" t="str">
        <f>IFERROR(__xludf.DUMMYFUNCTION("""COMPUTED_VALUE"""),"Abang Putra Pratama")</f>
        <v>Abang Putra Pratama</v>
      </c>
      <c r="D48" s="26" t="str">
        <f>IFERROR(__xludf.DUMMYFUNCTION("""COMPUTED_VALUE"""),"Karate Ikhwan")</f>
        <v>Karate Ikhwan</v>
      </c>
      <c r="E48" s="27">
        <f>IFERROR(__xludf.DUMMYFUNCTION("""COMPUTED_VALUE"""),0.6458333333321207)</f>
        <v>0.6458333333</v>
      </c>
      <c r="F48" s="27">
        <f>IFERROR(__xludf.DUMMYFUNCTION("""COMPUTED_VALUE"""),0.7083333333321207)</f>
        <v>0.7083333333</v>
      </c>
    </row>
    <row r="49">
      <c r="B49" s="25">
        <f>IFERROR(__xludf.DUMMYFUNCTION("""COMPUTED_VALUE"""),45920.0)</f>
        <v>45920</v>
      </c>
      <c r="C49" s="26" t="str">
        <f>IFERROR(__xludf.DUMMYFUNCTION("""COMPUTED_VALUE"""),"Musa Harahap")</f>
        <v>Musa Harahap</v>
      </c>
      <c r="D49" s="26" t="str">
        <f>IFERROR(__xludf.DUMMYFUNCTION("""COMPUTED_VALUE"""),"Futsal")</f>
        <v>Futsal</v>
      </c>
      <c r="E49" s="27">
        <f>IFERROR(__xludf.DUMMYFUNCTION("""COMPUTED_VALUE"""),0.2916666666678793)</f>
        <v>0.2916666667</v>
      </c>
      <c r="F49" s="27">
        <f>IFERROR(__xludf.DUMMYFUNCTION("""COMPUTED_VALUE"""),0.375)</f>
        <v>0.375</v>
      </c>
    </row>
    <row r="50">
      <c r="B50" s="25">
        <f>IFERROR(__xludf.DUMMYFUNCTION("""COMPUTED_VALUE"""),45927.0)</f>
        <v>45927</v>
      </c>
      <c r="C50" s="26" t="str">
        <f>IFERROR(__xludf.DUMMYFUNCTION("""COMPUTED_VALUE"""),"Musa Harahap")</f>
        <v>Musa Harahap</v>
      </c>
      <c r="D50" s="26" t="str">
        <f>IFERROR(__xludf.DUMMYFUNCTION("""COMPUTED_VALUE"""),"Futsal")</f>
        <v>Futsal</v>
      </c>
      <c r="E50" s="27">
        <f>IFERROR(__xludf.DUMMYFUNCTION("""COMPUTED_VALUE"""),0.2916666666678793)</f>
        <v>0.2916666667</v>
      </c>
      <c r="F50" s="27">
        <f>IFERROR(__xludf.DUMMYFUNCTION("""COMPUTED_VALUE"""),0.375)</f>
        <v>0.375</v>
      </c>
    </row>
    <row r="51">
      <c r="B51" s="25">
        <f>IFERROR(__xludf.DUMMYFUNCTION("""COMPUTED_VALUE"""),45927.0)</f>
        <v>45927</v>
      </c>
      <c r="C51" s="26" t="str">
        <f>IFERROR(__xludf.DUMMYFUNCTION("""COMPUTED_VALUE"""),"PAISAL, M.Pd")</f>
        <v>PAISAL, M.Pd</v>
      </c>
      <c r="D51" s="26" t="str">
        <f>IFERROR(__xludf.DUMMYFUNCTION("""COMPUTED_VALUE"""),"English Club Ikhwan")</f>
        <v>English Club Ikhwan</v>
      </c>
      <c r="E51" s="27">
        <f>IFERROR(__xludf.DUMMYFUNCTION("""COMPUTED_VALUE"""),0.375)</f>
        <v>0.375</v>
      </c>
      <c r="F51" s="27">
        <f>IFERROR(__xludf.DUMMYFUNCTION("""COMPUTED_VALUE"""),0.4583333333321207)</f>
        <v>0.4583333333</v>
      </c>
    </row>
    <row r="52">
      <c r="B52" s="25">
        <f>IFERROR(__xludf.DUMMYFUNCTION("""COMPUTED_VALUE"""),45927.0)</f>
        <v>45927</v>
      </c>
      <c r="C52" s="26" t="str">
        <f>IFERROR(__xludf.DUMMYFUNCTION("""COMPUTED_VALUE"""),"APSARI TRI RAHAYU")</f>
        <v>APSARI TRI RAHAYU</v>
      </c>
      <c r="D52" s="26" t="str">
        <f>IFERROR(__xludf.DUMMYFUNCTION("""COMPUTED_VALUE"""),"Panahan Akhwat")</f>
        <v>Panahan Akhwat</v>
      </c>
      <c r="E52" s="27">
        <f>IFERROR(__xludf.DUMMYFUNCTION("""COMPUTED_VALUE"""),0.2916666666678793)</f>
        <v>0.2916666667</v>
      </c>
      <c r="F52" s="27">
        <f>IFERROR(__xludf.DUMMYFUNCTION("""COMPUTED_VALUE"""),0.375)</f>
        <v>0.375</v>
      </c>
    </row>
    <row r="53">
      <c r="B53" s="25">
        <f>IFERROR(__xludf.DUMMYFUNCTION("""COMPUTED_VALUE"""),45927.0)</f>
        <v>45927</v>
      </c>
      <c r="C53" s="26" t="str">
        <f>IFERROR(__xludf.DUMMYFUNCTION("""COMPUTED_VALUE"""),"Ririn Rahmayanti")</f>
        <v>Ririn Rahmayanti</v>
      </c>
      <c r="D53" s="26" t="str">
        <f>IFERROR(__xludf.DUMMYFUNCTION("""COMPUTED_VALUE"""),"English Club Akhwat")</f>
        <v>English Club Akhwat</v>
      </c>
      <c r="E53" s="27">
        <f>IFERROR(__xludf.DUMMYFUNCTION("""COMPUTED_VALUE"""),0.375)</f>
        <v>0.375</v>
      </c>
      <c r="F53" s="27">
        <f>IFERROR(__xludf.DUMMYFUNCTION("""COMPUTED_VALUE"""),0.4583333333321207)</f>
        <v>0.4583333333</v>
      </c>
    </row>
    <row r="54">
      <c r="B54" s="25">
        <f>IFERROR(__xludf.DUMMYFUNCTION("""COMPUTED_VALUE"""),45927.0)</f>
        <v>45927</v>
      </c>
      <c r="C54" s="26" t="str">
        <f>IFERROR(__xludf.DUMMYFUNCTION("""COMPUTED_VALUE"""),"Fikry")</f>
        <v>Fikry</v>
      </c>
      <c r="D54" s="26" t="str">
        <f>IFERROR(__xludf.DUMMYFUNCTION("""COMPUTED_VALUE"""),"Desain Poster  Ikhwan")</f>
        <v>Desain Poster  Ikhwan</v>
      </c>
      <c r="E54" s="27">
        <f>IFERROR(__xludf.DUMMYFUNCTION("""COMPUTED_VALUE"""),0.3854166666678793)</f>
        <v>0.3854166667</v>
      </c>
      <c r="F54" s="27">
        <f>IFERROR(__xludf.DUMMYFUNCTION("""COMPUTED_VALUE"""),0.46527777777737356)</f>
        <v>0.4652777778</v>
      </c>
    </row>
    <row r="55">
      <c r="B55" s="25">
        <f>IFERROR(__xludf.DUMMYFUNCTION("""COMPUTED_VALUE"""),45924.0)</f>
        <v>45924</v>
      </c>
      <c r="C55" s="26" t="str">
        <f>IFERROR(__xludf.DUMMYFUNCTION("""COMPUTED_VALUE"""),"Rendy Ramadhani")</f>
        <v>Rendy Ramadhani</v>
      </c>
      <c r="D55" s="26" t="str">
        <f>IFERROR(__xludf.DUMMYFUNCTION("""COMPUTED_VALUE"""),"Silat Ikhwan")</f>
        <v>Silat Ikhwan</v>
      </c>
      <c r="E55" s="27">
        <f>IFERROR(__xludf.DUMMYFUNCTION("""COMPUTED_VALUE"""),0.6458333333321207)</f>
        <v>0.6458333333</v>
      </c>
      <c r="F55" s="27">
        <f>IFERROR(__xludf.DUMMYFUNCTION("""COMPUTED_VALUE"""),0.7083333333321207)</f>
        <v>0.7083333333</v>
      </c>
    </row>
    <row r="56">
      <c r="B56" s="25">
        <f>IFERROR(__xludf.DUMMYFUNCTION("""COMPUTED_VALUE"""),45917.0)</f>
        <v>45917</v>
      </c>
      <c r="C56" s="26" t="str">
        <f>IFERROR(__xludf.DUMMYFUNCTION("""COMPUTED_VALUE"""),"M. Rendi Al Furqan")</f>
        <v>M. Rendi Al Furqan</v>
      </c>
      <c r="D56" s="26" t="str">
        <f>IFERROR(__xludf.DUMMYFUNCTION("""COMPUTED_VALUE"""),"Taekwondo Ikhwan")</f>
        <v>Taekwondo Ikhwan</v>
      </c>
      <c r="E56" s="27">
        <f>IFERROR(__xludf.DUMMYFUNCTION("""COMPUTED_VALUE"""),0.6458333333321207)</f>
        <v>0.6458333333</v>
      </c>
      <c r="F56" s="27">
        <f>IFERROR(__xludf.DUMMYFUNCTION("""COMPUTED_VALUE"""),0.7083333333321207)</f>
        <v>0.7083333333</v>
      </c>
    </row>
    <row r="57">
      <c r="B57" s="25">
        <f>IFERROR(__xludf.DUMMYFUNCTION("""COMPUTED_VALUE"""),45927.0)</f>
        <v>45927</v>
      </c>
      <c r="C57" s="26" t="str">
        <f>IFERROR(__xludf.DUMMYFUNCTION("""COMPUTED_VALUE"""),"Erik Rahmana")</f>
        <v>Erik Rahmana</v>
      </c>
      <c r="D57" s="26" t="str">
        <f>IFERROR(__xludf.DUMMYFUNCTION("""COMPUTED_VALUE"""),"Volli Ikhwan")</f>
        <v>Volli Ikhwan</v>
      </c>
      <c r="E57" s="27">
        <f>IFERROR(__xludf.DUMMYFUNCTION("""COMPUTED_VALUE"""),0.3194444444452529)</f>
        <v>0.3194444444</v>
      </c>
      <c r="F57" s="27">
        <f>IFERROR(__xludf.DUMMYFUNCTION("""COMPUTED_VALUE"""),0.3958333333321207)</f>
        <v>0.3958333333</v>
      </c>
    </row>
    <row r="58">
      <c r="B58" s="25">
        <f>IFERROR(__xludf.DUMMYFUNCTION("""COMPUTED_VALUE"""),45927.0)</f>
        <v>45927</v>
      </c>
      <c r="C58" s="26" t="str">
        <f>IFERROR(__xludf.DUMMYFUNCTION("""COMPUTED_VALUE"""),"Yuyun Rusmita")</f>
        <v>Yuyun Rusmita</v>
      </c>
      <c r="D58" s="26" t="str">
        <f>IFERROR(__xludf.DUMMYFUNCTION("""COMPUTED_VALUE"""),"Volli Akhwat")</f>
        <v>Volli Akhwat</v>
      </c>
      <c r="E58" s="27">
        <f>IFERROR(__xludf.DUMMYFUNCTION("""COMPUTED_VALUE"""),0.29861111110949423)</f>
        <v>0.2986111111</v>
      </c>
      <c r="F58" s="27">
        <f>IFERROR(__xludf.DUMMYFUNCTION("""COMPUTED_VALUE"""),0.3819444444452529)</f>
        <v>0.3819444444</v>
      </c>
    </row>
    <row r="59">
      <c r="B59" s="25">
        <f>IFERROR(__xludf.DUMMYFUNCTION("""COMPUTED_VALUE"""),45927.0)</f>
        <v>45927</v>
      </c>
      <c r="C59" s="26" t="str">
        <f>IFERROR(__xludf.DUMMYFUNCTION("""COMPUTED_VALUE"""),"APRIYANTI")</f>
        <v>APRIYANTI</v>
      </c>
      <c r="D59" s="26" t="str">
        <f>IFERROR(__xludf.DUMMYFUNCTION("""COMPUTED_VALUE"""),"Desain Poster AKhwat")</f>
        <v>Desain Poster AKhwat</v>
      </c>
      <c r="E59" s="27">
        <f>IFERROR(__xludf.DUMMYFUNCTION("""COMPUTED_VALUE"""),0.4131944444452529)</f>
        <v>0.4131944444</v>
      </c>
      <c r="F59" s="27">
        <f>IFERROR(__xludf.DUMMYFUNCTION("""COMPUTED_VALUE"""),0.5069444444452529)</f>
        <v>0.5069444444</v>
      </c>
    </row>
    <row r="60">
      <c r="B60" s="25">
        <f>IFERROR(__xludf.DUMMYFUNCTION("""COMPUTED_VALUE"""),45903.0)</f>
        <v>45903</v>
      </c>
      <c r="C60" s="26" t="str">
        <f>IFERROR(__xludf.DUMMYFUNCTION("""COMPUTED_VALUE"""),"Abang Putra Pratama")</f>
        <v>Abang Putra Pratama</v>
      </c>
      <c r="D60" s="26" t="str">
        <f>IFERROR(__xludf.DUMMYFUNCTION("""COMPUTED_VALUE"""),"Karate Ikhwan")</f>
        <v>Karate Ikhwan</v>
      </c>
      <c r="E60" s="27">
        <f>IFERROR(__xludf.DUMMYFUNCTION("""COMPUTED_VALUE"""),0.6458333333321207)</f>
        <v>0.6458333333</v>
      </c>
      <c r="F60" s="27">
        <f>IFERROR(__xludf.DUMMYFUNCTION("""COMPUTED_VALUE"""),0.7083333333321207)</f>
        <v>0.7083333333</v>
      </c>
    </row>
    <row r="61">
      <c r="B61" s="25">
        <f>IFERROR(__xludf.DUMMYFUNCTION("""COMPUTED_VALUE"""),45910.0)</f>
        <v>45910</v>
      </c>
      <c r="C61" s="26" t="str">
        <f>IFERROR(__xludf.DUMMYFUNCTION("""COMPUTED_VALUE"""),"Abang Putra Pratama")</f>
        <v>Abang Putra Pratama</v>
      </c>
      <c r="D61" s="26" t="str">
        <f>IFERROR(__xludf.DUMMYFUNCTION("""COMPUTED_VALUE"""),"Karate Ikhwan")</f>
        <v>Karate Ikhwan</v>
      </c>
      <c r="E61" s="27">
        <f>IFERROR(__xludf.DUMMYFUNCTION("""COMPUTED_VALUE"""),0.6458333333321207)</f>
        <v>0.6458333333</v>
      </c>
      <c r="F61" s="27">
        <f>IFERROR(__xludf.DUMMYFUNCTION("""COMPUTED_VALUE"""),0.7083333333321207)</f>
        <v>0.7083333333</v>
      </c>
    </row>
    <row r="62">
      <c r="B62" s="25">
        <f>IFERROR(__xludf.DUMMYFUNCTION("""COMPUTED_VALUE"""),45917.0)</f>
        <v>45917</v>
      </c>
      <c r="C62" s="26" t="str">
        <f>IFERROR(__xludf.DUMMYFUNCTION("""COMPUTED_VALUE"""),"Abang Putra Pratama")</f>
        <v>Abang Putra Pratama</v>
      </c>
      <c r="D62" s="26" t="str">
        <f>IFERROR(__xludf.DUMMYFUNCTION("""COMPUTED_VALUE"""),"Karate Ikhwan")</f>
        <v>Karate Ikhwan</v>
      </c>
      <c r="E62" s="27">
        <f>IFERROR(__xludf.DUMMYFUNCTION("""COMPUTED_VALUE"""),0.6458333333321207)</f>
        <v>0.6458333333</v>
      </c>
      <c r="F62" s="27">
        <f>IFERROR(__xludf.DUMMYFUNCTION("""COMPUTED_VALUE"""),0.7083333333321207)</f>
        <v>0.7083333333</v>
      </c>
    </row>
    <row r="63">
      <c r="B63" s="25">
        <f>IFERROR(__xludf.DUMMYFUNCTION("""COMPUTED_VALUE"""),45924.0)</f>
        <v>45924</v>
      </c>
      <c r="C63" s="26" t="str">
        <f>IFERROR(__xludf.DUMMYFUNCTION("""COMPUTED_VALUE"""),"Abang Putra Pratama")</f>
        <v>Abang Putra Pratama</v>
      </c>
      <c r="D63" s="26" t="str">
        <f>IFERROR(__xludf.DUMMYFUNCTION("""COMPUTED_VALUE"""),"Karate Ikhwan")</f>
        <v>Karate Ikhwan</v>
      </c>
      <c r="E63" s="27">
        <f>IFERROR(__xludf.DUMMYFUNCTION("""COMPUTED_VALUE"""),0.6458333333321207)</f>
        <v>0.6458333333</v>
      </c>
      <c r="F63" s="27">
        <f>IFERROR(__xludf.DUMMYFUNCTION("""COMPUTED_VALUE"""),0.7083333333321207)</f>
        <v>0.7083333333</v>
      </c>
    </row>
    <row r="64">
      <c r="B64" s="25">
        <f>IFERROR(__xludf.DUMMYFUNCTION("""COMPUTED_VALUE"""),45913.0)</f>
        <v>45913</v>
      </c>
      <c r="C64" s="26" t="str">
        <f>IFERROR(__xludf.DUMMYFUNCTION("""COMPUTED_VALUE"""),"Musa Harahap")</f>
        <v>Musa Harahap</v>
      </c>
      <c r="D64" s="26" t="str">
        <f>IFERROR(__xludf.DUMMYFUNCTION("""COMPUTED_VALUE"""),"Futsal")</f>
        <v>Futsal</v>
      </c>
      <c r="E64" s="27">
        <f>IFERROR(__xludf.DUMMYFUNCTION("""COMPUTED_VALUE"""),0.2916666666678793)</f>
        <v>0.2916666667</v>
      </c>
      <c r="F64" s="27">
        <f>IFERROR(__xludf.DUMMYFUNCTION("""COMPUTED_VALUE"""),0.375)</f>
        <v>0.375</v>
      </c>
    </row>
  </sheetData>
  <customSheetViews>
    <customSheetView guid="{E9C06A09-1FCE-460B-B03F-1DEF4008E9FC}" filter="1" showAutoFilter="1">
      <autoFilter ref="$B$8:$F$58">
        <sortState ref="B8:F58">
          <sortCondition ref="C8:C58"/>
        </sortState>
      </autoFilter>
    </customSheetView>
    <customSheetView guid="{D350F161-6E76-4C68-8C74-453449805C90}" filter="1" showAutoFilter="1">
      <autoFilter ref="$B$8:$F$61">
        <sortState ref="B8:F61">
          <sortCondition ref="C8:C61"/>
        </sortState>
      </autoFilter>
    </customSheetView>
  </customSheetViews>
  <mergeCells count="8">
    <mergeCell ref="A3:G3"/>
    <mergeCell ref="A4:G4"/>
    <mergeCell ref="A6:A7"/>
    <mergeCell ref="B6:B7"/>
    <mergeCell ref="C6:C7"/>
    <mergeCell ref="D6:D7"/>
    <mergeCell ref="E6:F6"/>
    <mergeCell ref="G6:G7"/>
  </mergeCell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8.75"/>
    <col customWidth="1" min="3" max="3" width="21.25"/>
    <col customWidth="1" min="4" max="4" width="19.5"/>
    <col customWidth="1" min="5" max="5" width="12.25"/>
    <col customWidth="1" min="6" max="6" width="11.0"/>
    <col customWidth="1" min="7" max="7" width="17.75"/>
  </cols>
  <sheetData>
    <row r="1">
      <c r="A1" s="6" t="s">
        <v>49</v>
      </c>
    </row>
    <row r="3">
      <c r="A3" s="8" t="s">
        <v>50</v>
      </c>
    </row>
    <row r="4">
      <c r="A4" s="8" t="s">
        <v>51</v>
      </c>
    </row>
    <row r="6">
      <c r="A6" s="14" t="s">
        <v>52</v>
      </c>
      <c r="B6" s="15" t="s">
        <v>53</v>
      </c>
      <c r="C6" s="14" t="s">
        <v>2</v>
      </c>
      <c r="D6" s="14" t="s">
        <v>3</v>
      </c>
      <c r="E6" s="16" t="s">
        <v>57</v>
      </c>
      <c r="F6" s="17"/>
      <c r="G6" s="14" t="s">
        <v>56</v>
      </c>
    </row>
    <row r="7">
      <c r="A7" s="18"/>
      <c r="B7" s="18"/>
      <c r="C7" s="18"/>
      <c r="D7" s="18"/>
      <c r="E7" s="19" t="s">
        <v>54</v>
      </c>
      <c r="F7" s="19" t="s">
        <v>55</v>
      </c>
      <c r="G7" s="18"/>
    </row>
    <row r="8">
      <c r="A8" s="28">
        <v>1.0</v>
      </c>
      <c r="B8" s="21">
        <f>IFERROR(__xludf.DUMMYFUNCTION("QUERY(IMPORTRANGE($A$1,""Form Responses 1!A2:G""),""select Col2 where Col5='Oktober'"")"),45931.0)</f>
        <v>45931</v>
      </c>
      <c r="C8" s="22" t="str">
        <f>IFERROR(__xludf.DUMMYFUNCTION("QUERY(IMPORTRANGE($A$1,""Form Responses 1!A2:G""),""select Col3 where Col5='Oktober'"")"),"Anisa Sholihat")</f>
        <v>Anisa Sholihat</v>
      </c>
      <c r="D8" s="23" t="str">
        <f>IFERROR(__xludf.DUMMYFUNCTION("QUERY(IMPORTRANGE($A$1,""Form Responses 1!A2:G""),""select Col4 where Col5='Oktober'"")"),"Silat Akhwat")</f>
        <v>Silat Akhwat</v>
      </c>
      <c r="E8" s="24">
        <f>IFERROR(__xludf.DUMMYFUNCTION("QUERY(IMPORTRANGE($A$1,""Form Responses 1!A2:G""),""select Col6 where Col5='Oktober'"")"),0.6666666666678793)</f>
        <v>0.6666666667</v>
      </c>
      <c r="F8" s="24">
        <f>IFERROR(__xludf.DUMMYFUNCTION("QUERY(IMPORTRANGE($A$1,""Form Responses 1!A2:G""),""select Col7 where Col5='Oktober'"")"),0.7083333333321207)</f>
        <v>0.7083333333</v>
      </c>
      <c r="G8" s="23"/>
    </row>
    <row r="9">
      <c r="A9" s="28">
        <v>2.0</v>
      </c>
      <c r="B9" s="21">
        <f>IFERROR(__xludf.DUMMYFUNCTION("""COMPUTED_VALUE"""),45931.0)</f>
        <v>45931</v>
      </c>
      <c r="C9" s="22" t="str">
        <f>IFERROR(__xludf.DUMMYFUNCTION("""COMPUTED_VALUE"""),"M. Rendi Al Furqan")</f>
        <v>M. Rendi Al Furqan</v>
      </c>
      <c r="D9" s="23" t="str">
        <f>IFERROR(__xludf.DUMMYFUNCTION("""COMPUTED_VALUE"""),"Taekwondo Ikhwan")</f>
        <v>Taekwondo Ikhwan</v>
      </c>
      <c r="E9" s="24">
        <f>IFERROR(__xludf.DUMMYFUNCTION("""COMPUTED_VALUE"""),0.6458333333321207)</f>
        <v>0.6458333333</v>
      </c>
      <c r="F9" s="24">
        <f>IFERROR(__xludf.DUMMYFUNCTION("""COMPUTED_VALUE"""),0.7083333333321207)</f>
        <v>0.7083333333</v>
      </c>
      <c r="G9" s="23"/>
    </row>
    <row r="10">
      <c r="A10" s="28">
        <v>3.0</v>
      </c>
      <c r="B10" s="21">
        <f>IFERROR(__xludf.DUMMYFUNCTION("""COMPUTED_VALUE"""),45931.0)</f>
        <v>45931</v>
      </c>
      <c r="C10" s="22" t="str">
        <f>IFERROR(__xludf.DUMMYFUNCTION("""COMPUTED_VALUE"""),"Mardiana")</f>
        <v>Mardiana</v>
      </c>
      <c r="D10" s="23" t="str">
        <f>IFERROR(__xludf.DUMMYFUNCTION("""COMPUTED_VALUE"""),"Taekwondo Akhwat")</f>
        <v>Taekwondo Akhwat</v>
      </c>
      <c r="E10" s="24">
        <f>IFERROR(__xludf.DUMMYFUNCTION("""COMPUTED_VALUE"""),0.6458333333321207)</f>
        <v>0.6458333333</v>
      </c>
      <c r="F10" s="24">
        <f>IFERROR(__xludf.DUMMYFUNCTION("""COMPUTED_VALUE"""),0.7083333333321207)</f>
        <v>0.7083333333</v>
      </c>
      <c r="G10" s="23"/>
    </row>
    <row r="11">
      <c r="A11" s="28">
        <v>4.0</v>
      </c>
      <c r="B11" s="21">
        <f>IFERROR(__xludf.DUMMYFUNCTION("""COMPUTED_VALUE"""),45931.0)</f>
        <v>45931</v>
      </c>
      <c r="C11" s="22" t="str">
        <f>IFERROR(__xludf.DUMMYFUNCTION("""COMPUTED_VALUE"""),"Januarti")</f>
        <v>Januarti</v>
      </c>
      <c r="D11" s="23" t="str">
        <f>IFERROR(__xludf.DUMMYFUNCTION("""COMPUTED_VALUE"""),"Karate Akhwat")</f>
        <v>Karate Akhwat</v>
      </c>
      <c r="E11" s="24">
        <f>IFERROR(__xludf.DUMMYFUNCTION("""COMPUTED_VALUE"""),0.6458333333321207)</f>
        <v>0.6458333333</v>
      </c>
      <c r="F11" s="24">
        <f>IFERROR(__xludf.DUMMYFUNCTION("""COMPUTED_VALUE"""),0.7083333333321207)</f>
        <v>0.7083333333</v>
      </c>
      <c r="G11" s="23"/>
    </row>
    <row r="12">
      <c r="A12" s="28">
        <v>5.0</v>
      </c>
      <c r="B12" s="21">
        <f>IFERROR(__xludf.DUMMYFUNCTION("""COMPUTED_VALUE"""),45931.0)</f>
        <v>45931</v>
      </c>
      <c r="C12" s="22" t="str">
        <f>IFERROR(__xludf.DUMMYFUNCTION("""COMPUTED_VALUE"""),"Abang Putra Pratama")</f>
        <v>Abang Putra Pratama</v>
      </c>
      <c r="D12" s="23" t="str">
        <f>IFERROR(__xludf.DUMMYFUNCTION("""COMPUTED_VALUE"""),"Karate Ikhwan")</f>
        <v>Karate Ikhwan</v>
      </c>
      <c r="E12" s="24">
        <f>IFERROR(__xludf.DUMMYFUNCTION("""COMPUTED_VALUE"""),0.6458333333321207)</f>
        <v>0.6458333333</v>
      </c>
      <c r="F12" s="24">
        <f>IFERROR(__xludf.DUMMYFUNCTION("""COMPUTED_VALUE"""),0.7083333333321207)</f>
        <v>0.7083333333</v>
      </c>
      <c r="G12" s="23"/>
    </row>
    <row r="13">
      <c r="A13" s="28">
        <v>6.0</v>
      </c>
      <c r="B13" s="21">
        <f>IFERROR(__xludf.DUMMYFUNCTION("""COMPUTED_VALUE"""),45932.0)</f>
        <v>45932</v>
      </c>
      <c r="C13" s="22" t="str">
        <f>IFERROR(__xludf.DUMMYFUNCTION("""COMPUTED_VALUE"""),"Niyah")</f>
        <v>Niyah</v>
      </c>
      <c r="D13" s="23" t="str">
        <f>IFERROR(__xludf.DUMMYFUNCTION("""COMPUTED_VALUE"""),"Pramuka Akhwat")</f>
        <v>Pramuka Akhwat</v>
      </c>
      <c r="E13" s="24">
        <f>IFERROR(__xludf.DUMMYFUNCTION("""COMPUTED_VALUE"""),0.6458333333321207)</f>
        <v>0.6458333333</v>
      </c>
      <c r="F13" s="24">
        <f>IFERROR(__xludf.DUMMYFUNCTION("""COMPUTED_VALUE"""),0.7083333333321207)</f>
        <v>0.7083333333</v>
      </c>
      <c r="G13" s="23"/>
    </row>
    <row r="14">
      <c r="A14" s="28">
        <v>7.0</v>
      </c>
      <c r="B14" s="21">
        <f>IFERROR(__xludf.DUMMYFUNCTION("""COMPUTED_VALUE"""),45934.0)</f>
        <v>45934</v>
      </c>
      <c r="C14" s="22" t="str">
        <f>IFERROR(__xludf.DUMMYFUNCTION("""COMPUTED_VALUE"""),"Erik Rahmana")</f>
        <v>Erik Rahmana</v>
      </c>
      <c r="D14" s="23" t="str">
        <f>IFERROR(__xludf.DUMMYFUNCTION("""COMPUTED_VALUE"""),"Volli Ikhwan")</f>
        <v>Volli Ikhwan</v>
      </c>
      <c r="E14" s="24">
        <f>IFERROR(__xludf.DUMMYFUNCTION("""COMPUTED_VALUE"""),0.3125)</f>
        <v>0.3125</v>
      </c>
      <c r="F14" s="24">
        <f>IFERROR(__xludf.DUMMYFUNCTION("""COMPUTED_VALUE"""),0.375)</f>
        <v>0.375</v>
      </c>
      <c r="G14" s="23"/>
    </row>
    <row r="15">
      <c r="A15" s="28">
        <v>8.0</v>
      </c>
      <c r="B15" s="21">
        <f>IFERROR(__xludf.DUMMYFUNCTION("""COMPUTED_VALUE"""),45934.0)</f>
        <v>45934</v>
      </c>
      <c r="C15" s="22" t="str">
        <f>IFERROR(__xludf.DUMMYFUNCTION("""COMPUTED_VALUE"""),"Musa Harahap")</f>
        <v>Musa Harahap</v>
      </c>
      <c r="D15" s="23" t="str">
        <f>IFERROR(__xludf.DUMMYFUNCTION("""COMPUTED_VALUE"""),"Futsal")</f>
        <v>Futsal</v>
      </c>
      <c r="E15" s="24">
        <f>IFERROR(__xludf.DUMMYFUNCTION("""COMPUTED_VALUE"""),0.2916666666678793)</f>
        <v>0.2916666667</v>
      </c>
      <c r="F15" s="24">
        <f>IFERROR(__xludf.DUMMYFUNCTION("""COMPUTED_VALUE"""),0.375)</f>
        <v>0.375</v>
      </c>
      <c r="G15" s="23"/>
    </row>
    <row r="16">
      <c r="A16" s="28">
        <v>9.0</v>
      </c>
      <c r="B16" s="21">
        <f>IFERROR(__xludf.DUMMYFUNCTION("""COMPUTED_VALUE"""),45934.0)</f>
        <v>45934</v>
      </c>
      <c r="C16" s="22" t="str">
        <f>IFERROR(__xludf.DUMMYFUNCTION("""COMPUTED_VALUE"""),"PAISAL, M.Pd")</f>
        <v>PAISAL, M.Pd</v>
      </c>
      <c r="D16" s="23" t="str">
        <f>IFERROR(__xludf.DUMMYFUNCTION("""COMPUTED_VALUE"""),"English Club Ikhwan")</f>
        <v>English Club Ikhwan</v>
      </c>
      <c r="E16" s="24">
        <f>IFERROR(__xludf.DUMMYFUNCTION("""COMPUTED_VALUE"""),0.375)</f>
        <v>0.375</v>
      </c>
      <c r="F16" s="24">
        <f>IFERROR(__xludf.DUMMYFUNCTION("""COMPUTED_VALUE"""),0.4583333333321207)</f>
        <v>0.4583333333</v>
      </c>
      <c r="G16" s="23"/>
    </row>
    <row r="17">
      <c r="A17" s="28">
        <v>10.0</v>
      </c>
      <c r="B17" s="21">
        <f>IFERROR(__xludf.DUMMYFUNCTION("""COMPUTED_VALUE"""),45934.0)</f>
        <v>45934</v>
      </c>
      <c r="C17" s="22" t="str">
        <f>IFERROR(__xludf.DUMMYFUNCTION("""COMPUTED_VALUE"""),"Fikry")</f>
        <v>Fikry</v>
      </c>
      <c r="D17" s="23" t="str">
        <f>IFERROR(__xludf.DUMMYFUNCTION("""COMPUTED_VALUE"""),"Desain Poster  Ikhwan")</f>
        <v>Desain Poster  Ikhwan</v>
      </c>
      <c r="E17" s="24">
        <f>IFERROR(__xludf.DUMMYFUNCTION("""COMPUTED_VALUE"""),0.38888888889050577)</f>
        <v>0.3888888889</v>
      </c>
      <c r="F17" s="24">
        <f>IFERROR(__xludf.DUMMYFUNCTION("""COMPUTED_VALUE"""),0.4583333333321207)</f>
        <v>0.4583333333</v>
      </c>
      <c r="G17" s="23"/>
    </row>
    <row r="18">
      <c r="A18" s="28">
        <v>11.0</v>
      </c>
      <c r="B18" s="21">
        <f>IFERROR(__xludf.DUMMYFUNCTION("""COMPUTED_VALUE"""),45936.0)</f>
        <v>45936</v>
      </c>
      <c r="C18" s="22" t="str">
        <f>IFERROR(__xludf.DUMMYFUNCTION("""COMPUTED_VALUE"""),"BUSTAMI ARIPIN, S.Pd.I")</f>
        <v>BUSTAMI ARIPIN, S.Pd.I</v>
      </c>
      <c r="D18" s="23" t="str">
        <f>IFERROR(__xludf.DUMMYFUNCTION("""COMPUTED_VALUE"""),"BAHASA ARAB")</f>
        <v>BAHASA ARAB</v>
      </c>
      <c r="E18" s="24">
        <f>IFERROR(__xludf.DUMMYFUNCTION("""COMPUTED_VALUE"""),0.7152777777773736)</f>
        <v>0.7152777778</v>
      </c>
      <c r="F18" s="24">
        <f>IFERROR(__xludf.DUMMYFUNCTION("""COMPUTED_VALUE"""),0.75)</f>
        <v>0.75</v>
      </c>
      <c r="G18" s="23"/>
    </row>
    <row r="19">
      <c r="A19" s="28">
        <v>12.0</v>
      </c>
      <c r="B19" s="21">
        <f>IFERROR(__xludf.DUMMYFUNCTION("""COMPUTED_VALUE"""),45938.0)</f>
        <v>45938</v>
      </c>
      <c r="C19" s="22" t="str">
        <f>IFERROR(__xludf.DUMMYFUNCTION("""COMPUTED_VALUE"""),"Rendy Ramadhani")</f>
        <v>Rendy Ramadhani</v>
      </c>
      <c r="D19" s="23" t="str">
        <f>IFERROR(__xludf.DUMMYFUNCTION("""COMPUTED_VALUE"""),"Silat Ikhwan")</f>
        <v>Silat Ikhwan</v>
      </c>
      <c r="E19" s="24">
        <f>IFERROR(__xludf.DUMMYFUNCTION("""COMPUTED_VALUE"""),0.6458333333321207)</f>
        <v>0.6458333333</v>
      </c>
      <c r="F19" s="24">
        <f>IFERROR(__xludf.DUMMYFUNCTION("""COMPUTED_VALUE"""),0.7083333333321207)</f>
        <v>0.7083333333</v>
      </c>
      <c r="G19" s="23"/>
    </row>
    <row r="20">
      <c r="A20" s="28">
        <v>13.0</v>
      </c>
      <c r="B20" s="21">
        <f>IFERROR(__xludf.DUMMYFUNCTION("""COMPUTED_VALUE"""),45938.0)</f>
        <v>45938</v>
      </c>
      <c r="C20" s="22" t="str">
        <f>IFERROR(__xludf.DUMMYFUNCTION("""COMPUTED_VALUE"""),"Ikhsan Syamsi")</f>
        <v>Ikhsan Syamsi</v>
      </c>
      <c r="D20" s="23" t="str">
        <f>IFERROR(__xludf.DUMMYFUNCTION("""COMPUTED_VALUE"""),"Silat Ikhwan")</f>
        <v>Silat Ikhwan</v>
      </c>
      <c r="E20" s="24">
        <f>IFERROR(__xludf.DUMMYFUNCTION("""COMPUTED_VALUE"""),0.6458333333321207)</f>
        <v>0.6458333333</v>
      </c>
      <c r="F20" s="24">
        <f>IFERROR(__xludf.DUMMYFUNCTION("""COMPUTED_VALUE"""),0.7083333333321207)</f>
        <v>0.7083333333</v>
      </c>
      <c r="G20" s="23"/>
    </row>
    <row r="21">
      <c r="A21" s="28">
        <v>14.0</v>
      </c>
      <c r="B21" s="21">
        <f>IFERROR(__xludf.DUMMYFUNCTION("""COMPUTED_VALUE"""),45938.0)</f>
        <v>45938</v>
      </c>
      <c r="C21" s="22" t="str">
        <f>IFERROR(__xludf.DUMMYFUNCTION("""COMPUTED_VALUE"""),"Abang Putra Pratama")</f>
        <v>Abang Putra Pratama</v>
      </c>
      <c r="D21" s="23" t="str">
        <f>IFERROR(__xludf.DUMMYFUNCTION("""COMPUTED_VALUE"""),"Karate Ikhwan")</f>
        <v>Karate Ikhwan</v>
      </c>
      <c r="E21" s="24">
        <f>IFERROR(__xludf.DUMMYFUNCTION("""COMPUTED_VALUE"""),0.6458333333321207)</f>
        <v>0.6458333333</v>
      </c>
      <c r="F21" s="24">
        <f>IFERROR(__xludf.DUMMYFUNCTION("""COMPUTED_VALUE"""),0.7083333333321207)</f>
        <v>0.7083333333</v>
      </c>
      <c r="G21" s="23"/>
    </row>
    <row r="22">
      <c r="A22" s="28">
        <v>15.0</v>
      </c>
      <c r="B22" s="21">
        <f>IFERROR(__xludf.DUMMYFUNCTION("""COMPUTED_VALUE"""),45938.0)</f>
        <v>45938</v>
      </c>
      <c r="C22" s="22" t="str">
        <f>IFERROR(__xludf.DUMMYFUNCTION("""COMPUTED_VALUE"""),"Januarti")</f>
        <v>Januarti</v>
      </c>
      <c r="D22" s="23" t="str">
        <f>IFERROR(__xludf.DUMMYFUNCTION("""COMPUTED_VALUE"""),"Karate Akhwat")</f>
        <v>Karate Akhwat</v>
      </c>
      <c r="E22" s="24">
        <f>IFERROR(__xludf.DUMMYFUNCTION("""COMPUTED_VALUE"""),0.6458333333321207)</f>
        <v>0.6458333333</v>
      </c>
      <c r="F22" s="24">
        <f>IFERROR(__xludf.DUMMYFUNCTION("""COMPUTED_VALUE"""),0.7083333333321207)</f>
        <v>0.7083333333</v>
      </c>
      <c r="G22" s="23"/>
    </row>
    <row r="23">
      <c r="A23" s="28">
        <v>16.0</v>
      </c>
      <c r="B23" s="21">
        <f>IFERROR(__xludf.DUMMYFUNCTION("""COMPUTED_VALUE"""),45938.0)</f>
        <v>45938</v>
      </c>
      <c r="C23" s="22" t="str">
        <f>IFERROR(__xludf.DUMMYFUNCTION("""COMPUTED_VALUE"""),"Anisa Sholihat")</f>
        <v>Anisa Sholihat</v>
      </c>
      <c r="D23" s="23" t="str">
        <f>IFERROR(__xludf.DUMMYFUNCTION("""COMPUTED_VALUE"""),"Silat Akhwat")</f>
        <v>Silat Akhwat</v>
      </c>
      <c r="E23" s="24">
        <f>IFERROR(__xludf.DUMMYFUNCTION("""COMPUTED_VALUE"""),0.6666666666678793)</f>
        <v>0.6666666667</v>
      </c>
      <c r="F23" s="24">
        <f>IFERROR(__xludf.DUMMYFUNCTION("""COMPUTED_VALUE"""),0.7083333333321207)</f>
        <v>0.7083333333</v>
      </c>
      <c r="G23" s="23"/>
    </row>
    <row r="24">
      <c r="A24" s="28">
        <v>17.0</v>
      </c>
      <c r="B24" s="21">
        <f>IFERROR(__xludf.DUMMYFUNCTION("""COMPUTED_VALUE"""),45938.0)</f>
        <v>45938</v>
      </c>
      <c r="C24" s="22" t="str">
        <f>IFERROR(__xludf.DUMMYFUNCTION("""COMPUTED_VALUE"""),"Mardiana")</f>
        <v>Mardiana</v>
      </c>
      <c r="D24" s="23" t="str">
        <f>IFERROR(__xludf.DUMMYFUNCTION("""COMPUTED_VALUE"""),"Taekwondo Akhwat")</f>
        <v>Taekwondo Akhwat</v>
      </c>
      <c r="E24" s="24">
        <f>IFERROR(__xludf.DUMMYFUNCTION("""COMPUTED_VALUE"""),0.6458333333321207)</f>
        <v>0.6458333333</v>
      </c>
      <c r="F24" s="24">
        <f>IFERROR(__xludf.DUMMYFUNCTION("""COMPUTED_VALUE"""),0.7083333333321207)</f>
        <v>0.7083333333</v>
      </c>
      <c r="G24" s="23"/>
    </row>
    <row r="25">
      <c r="A25" s="28">
        <v>18.0</v>
      </c>
      <c r="B25" s="21">
        <f>IFERROR(__xludf.DUMMYFUNCTION("""COMPUTED_VALUE"""),45938.0)</f>
        <v>45938</v>
      </c>
      <c r="C25" s="22" t="str">
        <f>IFERROR(__xludf.DUMMYFUNCTION("""COMPUTED_VALUE"""),"M. Rendi Al Furqan")</f>
        <v>M. Rendi Al Furqan</v>
      </c>
      <c r="D25" s="23" t="str">
        <f>IFERROR(__xludf.DUMMYFUNCTION("""COMPUTED_VALUE"""),"Taekwondo Ikhwan")</f>
        <v>Taekwondo Ikhwan</v>
      </c>
      <c r="E25" s="24">
        <f>IFERROR(__xludf.DUMMYFUNCTION("""COMPUTED_VALUE"""),0.6458333333321207)</f>
        <v>0.6458333333</v>
      </c>
      <c r="F25" s="24">
        <f>IFERROR(__xludf.DUMMYFUNCTION("""COMPUTED_VALUE"""),0.7083333333321207)</f>
        <v>0.7083333333</v>
      </c>
      <c r="G25" s="23"/>
    </row>
    <row r="26">
      <c r="A26" s="28">
        <v>19.0</v>
      </c>
      <c r="B26" s="21">
        <f>IFERROR(__xludf.DUMMYFUNCTION("""COMPUTED_VALUE"""),45939.0)</f>
        <v>45939</v>
      </c>
      <c r="C26" s="22" t="str">
        <f>IFERROR(__xludf.DUMMYFUNCTION("""COMPUTED_VALUE"""),"Niyah")</f>
        <v>Niyah</v>
      </c>
      <c r="D26" s="23" t="str">
        <f>IFERROR(__xludf.DUMMYFUNCTION("""COMPUTED_VALUE"""),"Pramuka Akhwat")</f>
        <v>Pramuka Akhwat</v>
      </c>
      <c r="E26" s="24">
        <f>IFERROR(__xludf.DUMMYFUNCTION("""COMPUTED_VALUE"""),0.6458333333321207)</f>
        <v>0.6458333333</v>
      </c>
      <c r="F26" s="24">
        <f>IFERROR(__xludf.DUMMYFUNCTION("""COMPUTED_VALUE"""),0.7083333333321207)</f>
        <v>0.7083333333</v>
      </c>
      <c r="G26" s="23"/>
    </row>
    <row r="27">
      <c r="A27" s="28">
        <v>20.0</v>
      </c>
      <c r="B27" s="21">
        <f>IFERROR(__xludf.DUMMYFUNCTION("""COMPUTED_VALUE"""),45941.0)</f>
        <v>45941</v>
      </c>
      <c r="C27" s="22" t="str">
        <f>IFERROR(__xludf.DUMMYFUNCTION("""COMPUTED_VALUE"""),"Ririn Rahmayanti")</f>
        <v>Ririn Rahmayanti</v>
      </c>
      <c r="D27" s="23" t="str">
        <f>IFERROR(__xludf.DUMMYFUNCTION("""COMPUTED_VALUE"""),"English Club Akhwat")</f>
        <v>English Club Akhwat</v>
      </c>
      <c r="E27" s="24">
        <f>IFERROR(__xludf.DUMMYFUNCTION("""COMPUTED_VALUE"""),0.375)</f>
        <v>0.375</v>
      </c>
      <c r="F27" s="24">
        <f>IFERROR(__xludf.DUMMYFUNCTION("""COMPUTED_VALUE"""),0.4583333333321207)</f>
        <v>0.4583333333</v>
      </c>
      <c r="G27" s="23"/>
    </row>
    <row r="28">
      <c r="A28" s="28">
        <v>21.0</v>
      </c>
      <c r="B28" s="21">
        <f>IFERROR(__xludf.DUMMYFUNCTION("""COMPUTED_VALUE"""),45941.0)</f>
        <v>45941</v>
      </c>
      <c r="C28" s="22" t="str">
        <f>IFERROR(__xludf.DUMMYFUNCTION("""COMPUTED_VALUE"""),"Ririn Rahmayanti")</f>
        <v>Ririn Rahmayanti</v>
      </c>
      <c r="D28" s="23" t="str">
        <f>IFERROR(__xludf.DUMMYFUNCTION("""COMPUTED_VALUE"""),"English Club Akhwat")</f>
        <v>English Club Akhwat</v>
      </c>
      <c r="E28" s="24">
        <f>IFERROR(__xludf.DUMMYFUNCTION("""COMPUTED_VALUE"""),0.375)</f>
        <v>0.375</v>
      </c>
      <c r="F28" s="24">
        <f>IFERROR(__xludf.DUMMYFUNCTION("""COMPUTED_VALUE"""),0.4583333333321207)</f>
        <v>0.4583333333</v>
      </c>
      <c r="G28" s="23"/>
    </row>
    <row r="29">
      <c r="A29" s="28">
        <v>22.0</v>
      </c>
      <c r="B29" s="21">
        <f>IFERROR(__xludf.DUMMYFUNCTION("""COMPUTED_VALUE"""),45941.0)</f>
        <v>45941</v>
      </c>
      <c r="C29" s="22" t="str">
        <f>IFERROR(__xludf.DUMMYFUNCTION("""COMPUTED_VALUE"""),"APSARI TRI RAHAYU")</f>
        <v>APSARI TRI RAHAYU</v>
      </c>
      <c r="D29" s="23" t="str">
        <f>IFERROR(__xludf.DUMMYFUNCTION("""COMPUTED_VALUE"""),"Panahan Akhwat")</f>
        <v>Panahan Akhwat</v>
      </c>
      <c r="E29" s="24">
        <f>IFERROR(__xludf.DUMMYFUNCTION("""COMPUTED_VALUE"""),0.2916666666678793)</f>
        <v>0.2916666667</v>
      </c>
      <c r="F29" s="24">
        <f>IFERROR(__xludf.DUMMYFUNCTION("""COMPUTED_VALUE"""),0.375)</f>
        <v>0.375</v>
      </c>
      <c r="G29" s="23"/>
    </row>
    <row r="30">
      <c r="A30" s="28">
        <v>23.0</v>
      </c>
      <c r="B30" s="21">
        <f>IFERROR(__xludf.DUMMYFUNCTION("""COMPUTED_VALUE"""),45941.0)</f>
        <v>45941</v>
      </c>
      <c r="C30" s="22" t="str">
        <f>IFERROR(__xludf.DUMMYFUNCTION("""COMPUTED_VALUE"""),"Yuyun Rusmita")</f>
        <v>Yuyun Rusmita</v>
      </c>
      <c r="D30" s="23" t="str">
        <f>IFERROR(__xludf.DUMMYFUNCTION("""COMPUTED_VALUE"""),"Volli Akhwat")</f>
        <v>Volli Akhwat</v>
      </c>
      <c r="E30" s="24">
        <f>IFERROR(__xludf.DUMMYFUNCTION("""COMPUTED_VALUE"""),0.29861111110949423)</f>
        <v>0.2986111111</v>
      </c>
      <c r="F30" s="24">
        <f>IFERROR(__xludf.DUMMYFUNCTION("""COMPUTED_VALUE"""),0.3819444444452529)</f>
        <v>0.3819444444</v>
      </c>
      <c r="G30" s="23"/>
    </row>
    <row r="31">
      <c r="A31" s="28">
        <v>24.0</v>
      </c>
      <c r="B31" s="21">
        <f>IFERROR(__xludf.DUMMYFUNCTION("""COMPUTED_VALUE"""),45943.0)</f>
        <v>45943</v>
      </c>
      <c r="C31" s="22" t="str">
        <f>IFERROR(__xludf.DUMMYFUNCTION("""COMPUTED_VALUE"""),"BUSTAMI ARIPIN, S.Pd.I")</f>
        <v>BUSTAMI ARIPIN, S.Pd.I</v>
      </c>
      <c r="D31" s="23" t="str">
        <f>IFERROR(__xludf.DUMMYFUNCTION("""COMPUTED_VALUE"""),"BAHASA ARAB")</f>
        <v>BAHASA ARAB</v>
      </c>
      <c r="E31" s="24">
        <f>IFERROR(__xludf.DUMMYFUNCTION("""COMPUTED_VALUE"""),0.7222222222226264)</f>
        <v>0.7222222222</v>
      </c>
      <c r="F31" s="24">
        <f>IFERROR(__xludf.DUMMYFUNCTION("""COMPUTED_VALUE"""),0.75)</f>
        <v>0.75</v>
      </c>
      <c r="G31" s="23"/>
    </row>
    <row r="32">
      <c r="A32" s="28">
        <v>25.0</v>
      </c>
      <c r="B32" s="21">
        <f>IFERROR(__xludf.DUMMYFUNCTION("""COMPUTED_VALUE"""),45945.0)</f>
        <v>45945</v>
      </c>
      <c r="C32" s="22" t="str">
        <f>IFERROR(__xludf.DUMMYFUNCTION("""COMPUTED_VALUE"""),"Januarti")</f>
        <v>Januarti</v>
      </c>
      <c r="D32" s="23" t="str">
        <f>IFERROR(__xludf.DUMMYFUNCTION("""COMPUTED_VALUE"""),"Karate Akhwat")</f>
        <v>Karate Akhwat</v>
      </c>
      <c r="E32" s="24">
        <f>IFERROR(__xludf.DUMMYFUNCTION("""COMPUTED_VALUE"""),0.6458333333321207)</f>
        <v>0.6458333333</v>
      </c>
      <c r="F32" s="24">
        <f>IFERROR(__xludf.DUMMYFUNCTION("""COMPUTED_VALUE"""),0.7083333333321207)</f>
        <v>0.7083333333</v>
      </c>
      <c r="G32" s="23"/>
    </row>
    <row r="33">
      <c r="A33" s="28">
        <v>26.0</v>
      </c>
      <c r="B33" s="21">
        <f>IFERROR(__xludf.DUMMYFUNCTION("""COMPUTED_VALUE"""),45945.0)</f>
        <v>45945</v>
      </c>
      <c r="C33" s="22" t="str">
        <f>IFERROR(__xludf.DUMMYFUNCTION("""COMPUTED_VALUE"""),"M. Rendi Al Furqan")</f>
        <v>M. Rendi Al Furqan</v>
      </c>
      <c r="D33" s="23" t="str">
        <f>IFERROR(__xludf.DUMMYFUNCTION("""COMPUTED_VALUE"""),"Taekwondo Ikhwan")</f>
        <v>Taekwondo Ikhwan</v>
      </c>
      <c r="E33" s="24">
        <f>IFERROR(__xludf.DUMMYFUNCTION("""COMPUTED_VALUE"""),0.6458333333321207)</f>
        <v>0.6458333333</v>
      </c>
      <c r="F33" s="24">
        <f>IFERROR(__xludf.DUMMYFUNCTION("""COMPUTED_VALUE"""),0.7083333333321207)</f>
        <v>0.7083333333</v>
      </c>
      <c r="G33" s="23"/>
    </row>
    <row r="34">
      <c r="A34" s="28">
        <v>27.0</v>
      </c>
      <c r="B34" s="21">
        <f>IFERROR(__xludf.DUMMYFUNCTION("""COMPUTED_VALUE"""),45945.0)</f>
        <v>45945</v>
      </c>
      <c r="C34" s="22" t="str">
        <f>IFERROR(__xludf.DUMMYFUNCTION("""COMPUTED_VALUE"""),"Mardiana")</f>
        <v>Mardiana</v>
      </c>
      <c r="D34" s="23" t="str">
        <f>IFERROR(__xludf.DUMMYFUNCTION("""COMPUTED_VALUE"""),"Taekwondo Akhwat")</f>
        <v>Taekwondo Akhwat</v>
      </c>
      <c r="E34" s="24">
        <f>IFERROR(__xludf.DUMMYFUNCTION("""COMPUTED_VALUE"""),0.16666666666787933)</f>
        <v>0.1666666667</v>
      </c>
      <c r="F34" s="24">
        <f>IFERROR(__xludf.DUMMYFUNCTION("""COMPUTED_VALUE"""),0.19791666666787933)</f>
        <v>0.1979166667</v>
      </c>
      <c r="G34" s="23"/>
    </row>
    <row r="35">
      <c r="A35" s="28">
        <v>28.0</v>
      </c>
      <c r="B35" s="21">
        <f>IFERROR(__xludf.DUMMYFUNCTION("""COMPUTED_VALUE"""),45945.0)</f>
        <v>45945</v>
      </c>
      <c r="C35" s="22" t="str">
        <f>IFERROR(__xludf.DUMMYFUNCTION("""COMPUTED_VALUE"""),"Abang Putra Pratama")</f>
        <v>Abang Putra Pratama</v>
      </c>
      <c r="D35" s="23" t="str">
        <f>IFERROR(__xludf.DUMMYFUNCTION("""COMPUTED_VALUE"""),"Karate Ikhwan")</f>
        <v>Karate Ikhwan</v>
      </c>
      <c r="E35" s="24">
        <f>IFERROR(__xludf.DUMMYFUNCTION("""COMPUTED_VALUE"""),0.6458333333321207)</f>
        <v>0.6458333333</v>
      </c>
      <c r="F35" s="24">
        <f>IFERROR(__xludf.DUMMYFUNCTION("""COMPUTED_VALUE"""),0.7083333333321207)</f>
        <v>0.7083333333</v>
      </c>
      <c r="G35" s="23"/>
    </row>
    <row r="36">
      <c r="A36" s="28">
        <v>29.0</v>
      </c>
      <c r="B36" s="21">
        <f>IFERROR(__xludf.DUMMYFUNCTION("""COMPUTED_VALUE"""),45945.0)</f>
        <v>45945</v>
      </c>
      <c r="C36" s="22" t="str">
        <f>IFERROR(__xludf.DUMMYFUNCTION("""COMPUTED_VALUE"""),"Rendy Ramadhani")</f>
        <v>Rendy Ramadhani</v>
      </c>
      <c r="D36" s="23" t="str">
        <f>IFERROR(__xludf.DUMMYFUNCTION("""COMPUTED_VALUE"""),"Silat Ikhwan")</f>
        <v>Silat Ikhwan</v>
      </c>
      <c r="E36" s="24">
        <f>IFERROR(__xludf.DUMMYFUNCTION("""COMPUTED_VALUE"""),0.6458333333321207)</f>
        <v>0.6458333333</v>
      </c>
      <c r="F36" s="24">
        <f>IFERROR(__xludf.DUMMYFUNCTION("""COMPUTED_VALUE"""),0.7083333333321207)</f>
        <v>0.7083333333</v>
      </c>
      <c r="G36" s="23"/>
    </row>
    <row r="37">
      <c r="A37" s="28">
        <v>30.0</v>
      </c>
      <c r="B37" s="21">
        <f>IFERROR(__xludf.DUMMYFUNCTION("""COMPUTED_VALUE"""),45945.0)</f>
        <v>45945</v>
      </c>
      <c r="C37" s="22" t="str">
        <f>IFERROR(__xludf.DUMMYFUNCTION("""COMPUTED_VALUE"""),"Ikhsan Syamsi")</f>
        <v>Ikhsan Syamsi</v>
      </c>
      <c r="D37" s="23" t="str">
        <f>IFERROR(__xludf.DUMMYFUNCTION("""COMPUTED_VALUE"""),"Silat Ikhwan")</f>
        <v>Silat Ikhwan</v>
      </c>
      <c r="E37" s="24">
        <f>IFERROR(__xludf.DUMMYFUNCTION("""COMPUTED_VALUE"""),0.6458333333321207)</f>
        <v>0.6458333333</v>
      </c>
      <c r="F37" s="24">
        <f>IFERROR(__xludf.DUMMYFUNCTION("""COMPUTED_VALUE"""),0.7083333333321207)</f>
        <v>0.7083333333</v>
      </c>
      <c r="G37" s="23"/>
    </row>
    <row r="38">
      <c r="A38" s="28">
        <v>31.0</v>
      </c>
      <c r="B38" s="21">
        <f>IFERROR(__xludf.DUMMYFUNCTION("""COMPUTED_VALUE"""),45946.0)</f>
        <v>45946</v>
      </c>
      <c r="C38" s="22" t="str">
        <f>IFERROR(__xludf.DUMMYFUNCTION("""COMPUTED_VALUE"""),"Niyah")</f>
        <v>Niyah</v>
      </c>
      <c r="D38" s="23" t="str">
        <f>IFERROR(__xludf.DUMMYFUNCTION("""COMPUTED_VALUE"""),"Pramuka Akhwat")</f>
        <v>Pramuka Akhwat</v>
      </c>
      <c r="E38" s="24">
        <f>IFERROR(__xludf.DUMMYFUNCTION("""COMPUTED_VALUE"""),0.6458333333321207)</f>
        <v>0.6458333333</v>
      </c>
      <c r="F38" s="24">
        <f>IFERROR(__xludf.DUMMYFUNCTION("""COMPUTED_VALUE"""),0.7083333333321207)</f>
        <v>0.7083333333</v>
      </c>
      <c r="G38" s="23"/>
    </row>
    <row r="39">
      <c r="A39" s="28">
        <v>32.0</v>
      </c>
      <c r="B39" s="21">
        <f>IFERROR(__xludf.DUMMYFUNCTION("""COMPUTED_VALUE"""),45948.0)</f>
        <v>45948</v>
      </c>
      <c r="C39" s="22" t="str">
        <f>IFERROR(__xludf.DUMMYFUNCTION("""COMPUTED_VALUE"""),"Musa Harahap")</f>
        <v>Musa Harahap</v>
      </c>
      <c r="D39" s="23" t="str">
        <f>IFERROR(__xludf.DUMMYFUNCTION("""COMPUTED_VALUE"""),"Futsal")</f>
        <v>Futsal</v>
      </c>
      <c r="E39" s="24">
        <f>IFERROR(__xludf.DUMMYFUNCTION("""COMPUTED_VALUE"""),0.2916666666678793)</f>
        <v>0.2916666667</v>
      </c>
      <c r="F39" s="24">
        <f>IFERROR(__xludf.DUMMYFUNCTION("""COMPUTED_VALUE"""),0.375)</f>
        <v>0.375</v>
      </c>
      <c r="G39" s="23"/>
    </row>
    <row r="40">
      <c r="A40" s="28">
        <v>33.0</v>
      </c>
      <c r="B40" s="21">
        <f>IFERROR(__xludf.DUMMYFUNCTION("""COMPUTED_VALUE"""),45948.0)</f>
        <v>45948</v>
      </c>
      <c r="C40" s="22" t="str">
        <f>IFERROR(__xludf.DUMMYFUNCTION("""COMPUTED_VALUE"""),"APSARI TRI RAHAYU")</f>
        <v>APSARI TRI RAHAYU</v>
      </c>
      <c r="D40" s="23" t="str">
        <f>IFERROR(__xludf.DUMMYFUNCTION("""COMPUTED_VALUE"""),"Panahan Akhwat")</f>
        <v>Panahan Akhwat</v>
      </c>
      <c r="E40" s="24">
        <f>IFERROR(__xludf.DUMMYFUNCTION("""COMPUTED_VALUE"""),0.2916666666678793)</f>
        <v>0.2916666667</v>
      </c>
      <c r="F40" s="24">
        <f>IFERROR(__xludf.DUMMYFUNCTION("""COMPUTED_VALUE"""),0.375)</f>
        <v>0.375</v>
      </c>
      <c r="G40" s="23"/>
    </row>
    <row r="41">
      <c r="A41" s="28">
        <v>34.0</v>
      </c>
      <c r="B41" s="21">
        <f>IFERROR(__xludf.DUMMYFUNCTION("""COMPUTED_VALUE"""),45948.0)</f>
        <v>45948</v>
      </c>
      <c r="C41" s="22" t="str">
        <f>IFERROR(__xludf.DUMMYFUNCTION("""COMPUTED_VALUE"""),"Ririn Rahmayanti")</f>
        <v>Ririn Rahmayanti</v>
      </c>
      <c r="D41" s="23" t="str">
        <f>IFERROR(__xludf.DUMMYFUNCTION("""COMPUTED_VALUE"""),"English Club Akhwat")</f>
        <v>English Club Akhwat</v>
      </c>
      <c r="E41" s="24">
        <f>IFERROR(__xludf.DUMMYFUNCTION("""COMPUTED_VALUE"""),0.375)</f>
        <v>0.375</v>
      </c>
      <c r="F41" s="24">
        <f>IFERROR(__xludf.DUMMYFUNCTION("""COMPUTED_VALUE"""),0.4583333333321207)</f>
        <v>0.4583333333</v>
      </c>
      <c r="G41" s="23"/>
    </row>
    <row r="42">
      <c r="A42" s="28">
        <v>35.0</v>
      </c>
      <c r="B42" s="21">
        <f>IFERROR(__xludf.DUMMYFUNCTION("""COMPUTED_VALUE"""),45948.0)</f>
        <v>45948</v>
      </c>
      <c r="C42" s="22" t="str">
        <f>IFERROR(__xludf.DUMMYFUNCTION("""COMPUTED_VALUE"""),"PAISAL, M.Pd")</f>
        <v>PAISAL, M.Pd</v>
      </c>
      <c r="D42" s="23" t="str">
        <f>IFERROR(__xludf.DUMMYFUNCTION("""COMPUTED_VALUE"""),"English Club Ikhwan")</f>
        <v>English Club Ikhwan</v>
      </c>
      <c r="E42" s="24">
        <f>IFERROR(__xludf.DUMMYFUNCTION("""COMPUTED_VALUE"""),0.375)</f>
        <v>0.375</v>
      </c>
      <c r="F42" s="24">
        <f>IFERROR(__xludf.DUMMYFUNCTION("""COMPUTED_VALUE"""),0.4583333333321207)</f>
        <v>0.4583333333</v>
      </c>
      <c r="G42" s="23"/>
    </row>
    <row r="43">
      <c r="A43" s="28">
        <v>36.0</v>
      </c>
      <c r="B43" s="21">
        <f>IFERROR(__xludf.DUMMYFUNCTION("""COMPUTED_VALUE"""),45948.0)</f>
        <v>45948</v>
      </c>
      <c r="C43" s="22" t="str">
        <f>IFERROR(__xludf.DUMMYFUNCTION("""COMPUTED_VALUE"""),"Erik Rahmana")</f>
        <v>Erik Rahmana</v>
      </c>
      <c r="D43" s="23" t="str">
        <f>IFERROR(__xludf.DUMMYFUNCTION("""COMPUTED_VALUE"""),"Volli Ikhwan")</f>
        <v>Volli Ikhwan</v>
      </c>
      <c r="E43" s="24">
        <f>IFERROR(__xludf.DUMMYFUNCTION("""COMPUTED_VALUE"""),0.3125)</f>
        <v>0.3125</v>
      </c>
      <c r="F43" s="24">
        <f>IFERROR(__xludf.DUMMYFUNCTION("""COMPUTED_VALUE"""),0.375)</f>
        <v>0.375</v>
      </c>
      <c r="G43" s="23"/>
    </row>
    <row r="44">
      <c r="A44" s="28">
        <v>37.0</v>
      </c>
      <c r="B44" s="21">
        <f>IFERROR(__xludf.DUMMYFUNCTION("""COMPUTED_VALUE"""),45948.0)</f>
        <v>45948</v>
      </c>
      <c r="C44" s="22" t="str">
        <f>IFERROR(__xludf.DUMMYFUNCTION("""COMPUTED_VALUE"""),"Yuyun Rusmita")</f>
        <v>Yuyun Rusmita</v>
      </c>
      <c r="D44" s="23" t="str">
        <f>IFERROR(__xludf.DUMMYFUNCTION("""COMPUTED_VALUE"""),"Volli Akhwat")</f>
        <v>Volli Akhwat</v>
      </c>
      <c r="E44" s="24">
        <f>IFERROR(__xludf.DUMMYFUNCTION("""COMPUTED_VALUE"""),0.29861111110949423)</f>
        <v>0.2986111111</v>
      </c>
      <c r="F44" s="24">
        <f>IFERROR(__xludf.DUMMYFUNCTION("""COMPUTED_VALUE"""),0.3819444444452529)</f>
        <v>0.3819444444</v>
      </c>
      <c r="G44" s="23"/>
    </row>
    <row r="45">
      <c r="A45" s="28">
        <v>38.0</v>
      </c>
      <c r="B45" s="21">
        <f>IFERROR(__xludf.DUMMYFUNCTION("""COMPUTED_VALUE"""),45952.0)</f>
        <v>45952</v>
      </c>
      <c r="C45" s="29" t="str">
        <f>IFERROR(__xludf.DUMMYFUNCTION("""COMPUTED_VALUE"""),"Abang Putra Pratama")</f>
        <v>Abang Putra Pratama</v>
      </c>
      <c r="D45" s="29" t="str">
        <f>IFERROR(__xludf.DUMMYFUNCTION("""COMPUTED_VALUE"""),"Karate Ikhwan")</f>
        <v>Karate Ikhwan</v>
      </c>
      <c r="E45" s="24">
        <f>IFERROR(__xludf.DUMMYFUNCTION("""COMPUTED_VALUE"""),0.6458333333321207)</f>
        <v>0.6458333333</v>
      </c>
      <c r="F45" s="24">
        <f>IFERROR(__xludf.DUMMYFUNCTION("""COMPUTED_VALUE"""),0.7083333333321207)</f>
        <v>0.7083333333</v>
      </c>
    </row>
    <row r="46">
      <c r="A46" s="28">
        <v>39.0</v>
      </c>
      <c r="B46" s="21">
        <f>IFERROR(__xludf.DUMMYFUNCTION("""COMPUTED_VALUE"""),45952.0)</f>
        <v>45952</v>
      </c>
      <c r="C46" s="29" t="str">
        <f>IFERROR(__xludf.DUMMYFUNCTION("""COMPUTED_VALUE"""),"M. Rendi Al Furqan")</f>
        <v>M. Rendi Al Furqan</v>
      </c>
      <c r="D46" s="29" t="str">
        <f>IFERROR(__xludf.DUMMYFUNCTION("""COMPUTED_VALUE"""),"Taekwondo Ikhwan")</f>
        <v>Taekwondo Ikhwan</v>
      </c>
      <c r="E46" s="24">
        <f>IFERROR(__xludf.DUMMYFUNCTION("""COMPUTED_VALUE"""),0.6458333333321207)</f>
        <v>0.6458333333</v>
      </c>
      <c r="F46" s="24">
        <f>IFERROR(__xludf.DUMMYFUNCTION("""COMPUTED_VALUE"""),0.7083333333321207)</f>
        <v>0.7083333333</v>
      </c>
    </row>
    <row r="47">
      <c r="A47" s="28">
        <v>40.0</v>
      </c>
      <c r="B47" s="21">
        <f>IFERROR(__xludf.DUMMYFUNCTION("""COMPUTED_VALUE"""),45953.0)</f>
        <v>45953</v>
      </c>
      <c r="C47" s="29" t="str">
        <f>IFERROR(__xludf.DUMMYFUNCTION("""COMPUTED_VALUE"""),"Niyah")</f>
        <v>Niyah</v>
      </c>
      <c r="D47" s="29" t="str">
        <f>IFERROR(__xludf.DUMMYFUNCTION("""COMPUTED_VALUE"""),"Pramuka Akhwat")</f>
        <v>Pramuka Akhwat</v>
      </c>
      <c r="E47" s="24">
        <f>IFERROR(__xludf.DUMMYFUNCTION("""COMPUTED_VALUE"""),0.6458333333321207)</f>
        <v>0.6458333333</v>
      </c>
      <c r="F47" s="24">
        <f>IFERROR(__xludf.DUMMYFUNCTION("""COMPUTED_VALUE"""),0.7083333333321207)</f>
        <v>0.7083333333</v>
      </c>
    </row>
    <row r="48">
      <c r="A48" s="28">
        <v>41.0</v>
      </c>
      <c r="B48" s="21">
        <f>IFERROR(__xludf.DUMMYFUNCTION("""COMPUTED_VALUE"""),45948.0)</f>
        <v>45948</v>
      </c>
      <c r="C48" s="29" t="str">
        <f>IFERROR(__xludf.DUMMYFUNCTION("""COMPUTED_VALUE"""),"RIDHA  NURHALIZA")</f>
        <v>RIDHA  NURHALIZA</v>
      </c>
      <c r="D48" s="29" t="str">
        <f>IFERROR(__xludf.DUMMYFUNCTION("""COMPUTED_VALUE"""),"Jurnalistik Akhwat")</f>
        <v>Jurnalistik Akhwat</v>
      </c>
      <c r="E48" s="24">
        <f>IFERROR(__xludf.DUMMYFUNCTION("""COMPUTED_VALUE"""),0.3333333333321207)</f>
        <v>0.3333333333</v>
      </c>
      <c r="F48" s="24">
        <f>IFERROR(__xludf.DUMMYFUNCTION("""COMPUTED_VALUE"""),0.4166666666678793)</f>
        <v>0.4166666667</v>
      </c>
    </row>
    <row r="49">
      <c r="A49" s="28">
        <v>42.0</v>
      </c>
      <c r="B49" s="21">
        <f>IFERROR(__xludf.DUMMYFUNCTION("""COMPUTED_VALUE"""),45941.0)</f>
        <v>45941</v>
      </c>
      <c r="C49" s="29" t="str">
        <f>IFERROR(__xludf.DUMMYFUNCTION("""COMPUTED_VALUE"""),"RIDHA  NURHALIZA")</f>
        <v>RIDHA  NURHALIZA</v>
      </c>
      <c r="D49" s="29" t="str">
        <f>IFERROR(__xludf.DUMMYFUNCTION("""COMPUTED_VALUE"""),"Jurnalistik Akhwat")</f>
        <v>Jurnalistik Akhwat</v>
      </c>
      <c r="E49" s="24">
        <f>IFERROR(__xludf.DUMMYFUNCTION("""COMPUTED_VALUE"""),0.3333333333321207)</f>
        <v>0.3333333333</v>
      </c>
      <c r="F49" s="24">
        <f>IFERROR(__xludf.DUMMYFUNCTION("""COMPUTED_VALUE"""),0.4166666666678793)</f>
        <v>0.4166666667</v>
      </c>
    </row>
    <row r="50">
      <c r="A50" s="28">
        <v>43.0</v>
      </c>
      <c r="B50" s="21">
        <f>IFERROR(__xludf.DUMMYFUNCTION("""COMPUTED_VALUE"""),45955.0)</f>
        <v>45955</v>
      </c>
      <c r="C50" s="29" t="str">
        <f>IFERROR(__xludf.DUMMYFUNCTION("""COMPUTED_VALUE"""),"RIDHA  NURHALIZA")</f>
        <v>RIDHA  NURHALIZA</v>
      </c>
      <c r="D50" s="29" t="str">
        <f>IFERROR(__xludf.DUMMYFUNCTION("""COMPUTED_VALUE"""),"Jurnalistik Akhwat")</f>
        <v>Jurnalistik Akhwat</v>
      </c>
      <c r="E50" s="24">
        <f>IFERROR(__xludf.DUMMYFUNCTION("""COMPUTED_VALUE"""),0.3333333333321207)</f>
        <v>0.3333333333</v>
      </c>
      <c r="F50" s="24">
        <f>IFERROR(__xludf.DUMMYFUNCTION("""COMPUTED_VALUE"""),0.4166666666678793)</f>
        <v>0.4166666667</v>
      </c>
    </row>
    <row r="51">
      <c r="A51" s="28">
        <v>44.0</v>
      </c>
      <c r="B51" s="21">
        <f>IFERROR(__xludf.DUMMYFUNCTION("""COMPUTED_VALUE"""),45955.0)</f>
        <v>45955</v>
      </c>
      <c r="C51" s="29" t="str">
        <f>IFERROR(__xludf.DUMMYFUNCTION("""COMPUTED_VALUE"""),"Erik Rahmana")</f>
        <v>Erik Rahmana</v>
      </c>
      <c r="D51" s="29" t="str">
        <f>IFERROR(__xludf.DUMMYFUNCTION("""COMPUTED_VALUE"""),"Volli Ikhwan")</f>
        <v>Volli Ikhwan</v>
      </c>
      <c r="E51" s="24">
        <f>IFERROR(__xludf.DUMMYFUNCTION("""COMPUTED_VALUE"""),0.3194444444452529)</f>
        <v>0.3194444444</v>
      </c>
      <c r="F51" s="24">
        <f>IFERROR(__xludf.DUMMYFUNCTION("""COMPUTED_VALUE"""),0.3854166666678793)</f>
        <v>0.3854166667</v>
      </c>
    </row>
    <row r="52">
      <c r="A52" s="28">
        <v>45.0</v>
      </c>
      <c r="B52" s="21">
        <f>IFERROR(__xludf.DUMMYFUNCTION("""COMPUTED_VALUE"""),45955.0)</f>
        <v>45955</v>
      </c>
      <c r="C52" s="29" t="str">
        <f>IFERROR(__xludf.DUMMYFUNCTION("""COMPUTED_VALUE"""),"PAISAL, M.Pd")</f>
        <v>PAISAL, M.Pd</v>
      </c>
      <c r="D52" s="29" t="str">
        <f>IFERROR(__xludf.DUMMYFUNCTION("""COMPUTED_VALUE"""),"English Club Ikhwan")</f>
        <v>English Club Ikhwan</v>
      </c>
      <c r="E52" s="24">
        <f>IFERROR(__xludf.DUMMYFUNCTION("""COMPUTED_VALUE"""),0.375)</f>
        <v>0.375</v>
      </c>
      <c r="F52" s="24">
        <f>IFERROR(__xludf.DUMMYFUNCTION("""COMPUTED_VALUE"""),0.4583333333321207)</f>
        <v>0.4583333333</v>
      </c>
    </row>
    <row r="53">
      <c r="A53" s="28">
        <v>46.0</v>
      </c>
      <c r="B53" s="21">
        <f>IFERROR(__xludf.DUMMYFUNCTION("""COMPUTED_VALUE"""),45955.0)</f>
        <v>45955</v>
      </c>
      <c r="C53" s="29" t="str">
        <f>IFERROR(__xludf.DUMMYFUNCTION("""COMPUTED_VALUE"""),"Ririn Rahmayanti")</f>
        <v>Ririn Rahmayanti</v>
      </c>
      <c r="D53" s="29" t="str">
        <f>IFERROR(__xludf.DUMMYFUNCTION("""COMPUTED_VALUE"""),"English Club Akhwat")</f>
        <v>English Club Akhwat</v>
      </c>
      <c r="E53" s="24">
        <f>IFERROR(__xludf.DUMMYFUNCTION("""COMPUTED_VALUE"""),0.375)</f>
        <v>0.375</v>
      </c>
      <c r="F53" s="24">
        <f>IFERROR(__xludf.DUMMYFUNCTION("""COMPUTED_VALUE"""),0.4166666666678793)</f>
        <v>0.4166666667</v>
      </c>
    </row>
    <row r="54">
      <c r="A54" s="28">
        <v>47.0</v>
      </c>
      <c r="B54" s="21">
        <f>IFERROR(__xludf.DUMMYFUNCTION("""COMPUTED_VALUE"""),45955.0)</f>
        <v>45955</v>
      </c>
      <c r="C54" s="29" t="str">
        <f>IFERROR(__xludf.DUMMYFUNCTION("""COMPUTED_VALUE"""),"APSARI TRI RAHAYU")</f>
        <v>APSARI TRI RAHAYU</v>
      </c>
      <c r="D54" s="29" t="str">
        <f>IFERROR(__xludf.DUMMYFUNCTION("""COMPUTED_VALUE"""),"Panahan Akhwat")</f>
        <v>Panahan Akhwat</v>
      </c>
      <c r="E54" s="24">
        <f>IFERROR(__xludf.DUMMYFUNCTION("""COMPUTED_VALUE"""),0.2916666666678793)</f>
        <v>0.2916666667</v>
      </c>
      <c r="F54" s="24">
        <f>IFERROR(__xludf.DUMMYFUNCTION("""COMPUTED_VALUE"""),0.375)</f>
        <v>0.375</v>
      </c>
    </row>
    <row r="55">
      <c r="A55" s="28">
        <v>48.0</v>
      </c>
      <c r="B55" s="21">
        <f>IFERROR(__xludf.DUMMYFUNCTION("""COMPUTED_VALUE"""),45955.0)</f>
        <v>45955</v>
      </c>
      <c r="C55" s="29" t="str">
        <f>IFERROR(__xludf.DUMMYFUNCTION("""COMPUTED_VALUE"""),"Mardiana")</f>
        <v>Mardiana</v>
      </c>
      <c r="D55" s="29" t="str">
        <f>IFERROR(__xludf.DUMMYFUNCTION("""COMPUTED_VALUE"""),"Taekwondo Akhwat")</f>
        <v>Taekwondo Akhwat</v>
      </c>
      <c r="E55" s="24">
        <f>IFERROR(__xludf.DUMMYFUNCTION("""COMPUTED_VALUE"""),0.4305555555547471)</f>
        <v>0.4305555556</v>
      </c>
      <c r="F55" s="24">
        <f>IFERROR(__xludf.DUMMYFUNCTION("""COMPUTED_VALUE"""),0.4791666666678793)</f>
        <v>0.4791666667</v>
      </c>
    </row>
    <row r="56">
      <c r="A56" s="28">
        <v>49.0</v>
      </c>
      <c r="B56" s="21">
        <f>IFERROR(__xludf.DUMMYFUNCTION("""COMPUTED_VALUE"""),45956.0)</f>
        <v>45956</v>
      </c>
      <c r="C56" s="29" t="str">
        <f>IFERROR(__xludf.DUMMYFUNCTION("""COMPUTED_VALUE"""),"Mardiana")</f>
        <v>Mardiana</v>
      </c>
      <c r="D56" s="29" t="str">
        <f>IFERROR(__xludf.DUMMYFUNCTION("""COMPUTED_VALUE"""),"Taekwondo Akhwat")</f>
        <v>Taekwondo Akhwat</v>
      </c>
      <c r="E56" s="24">
        <f>IFERROR(__xludf.DUMMYFUNCTION("""COMPUTED_VALUE"""),0.4305555555547471)</f>
        <v>0.4305555556</v>
      </c>
      <c r="F56" s="24">
        <f>IFERROR(__xludf.DUMMYFUNCTION("""COMPUTED_VALUE"""),0.4791666666678793)</f>
        <v>0.4791666667</v>
      </c>
    </row>
    <row r="57">
      <c r="A57" s="28">
        <v>50.0</v>
      </c>
      <c r="B57" s="21">
        <f>IFERROR(__xludf.DUMMYFUNCTION("""COMPUTED_VALUE"""),45957.0)</f>
        <v>45957</v>
      </c>
      <c r="C57" s="29" t="str">
        <f>IFERROR(__xludf.DUMMYFUNCTION("""COMPUTED_VALUE"""),"BUSTAMI ARIPIN, S.Pd.I")</f>
        <v>BUSTAMI ARIPIN, S.Pd.I</v>
      </c>
      <c r="D57" s="29" t="str">
        <f>IFERROR(__xludf.DUMMYFUNCTION("""COMPUTED_VALUE"""),"BAHASA ARAB")</f>
        <v>BAHASA ARAB</v>
      </c>
      <c r="E57" s="24">
        <f>IFERROR(__xludf.DUMMYFUNCTION("""COMPUTED_VALUE"""),0.7152777777773736)</f>
        <v>0.7152777778</v>
      </c>
      <c r="F57" s="24">
        <f>IFERROR(__xludf.DUMMYFUNCTION("""COMPUTED_VALUE"""),0.75)</f>
        <v>0.75</v>
      </c>
    </row>
    <row r="58">
      <c r="A58" s="28">
        <v>51.0</v>
      </c>
      <c r="B58" s="21">
        <f>IFERROR(__xludf.DUMMYFUNCTION("""COMPUTED_VALUE"""),45955.0)</f>
        <v>45955</v>
      </c>
      <c r="C58" s="29" t="str">
        <f>IFERROR(__xludf.DUMMYFUNCTION("""COMPUTED_VALUE"""),"Yuyun Rusmita")</f>
        <v>Yuyun Rusmita</v>
      </c>
      <c r="D58" s="29" t="str">
        <f>IFERROR(__xludf.DUMMYFUNCTION("""COMPUTED_VALUE"""),"Volli Akhwat")</f>
        <v>Volli Akhwat</v>
      </c>
      <c r="E58" s="24">
        <f>IFERROR(__xludf.DUMMYFUNCTION("""COMPUTED_VALUE"""),0.29861111110949423)</f>
        <v>0.2986111111</v>
      </c>
      <c r="F58" s="24">
        <f>IFERROR(__xludf.DUMMYFUNCTION("""COMPUTED_VALUE"""),0.3819444444452529)</f>
        <v>0.3819444444</v>
      </c>
    </row>
    <row r="59">
      <c r="A59" s="28">
        <v>52.0</v>
      </c>
      <c r="B59" s="21">
        <f>IFERROR(__xludf.DUMMYFUNCTION("""COMPUTED_VALUE"""),45959.0)</f>
        <v>45959</v>
      </c>
      <c r="C59" s="29" t="str">
        <f>IFERROR(__xludf.DUMMYFUNCTION("""COMPUTED_VALUE"""),"Januarti")</f>
        <v>Januarti</v>
      </c>
      <c r="D59" s="29" t="str">
        <f>IFERROR(__xludf.DUMMYFUNCTION("""COMPUTED_VALUE"""),"Karate Akhwat")</f>
        <v>Karate Akhwat</v>
      </c>
      <c r="E59" s="24">
        <f>IFERROR(__xludf.DUMMYFUNCTION("""COMPUTED_VALUE"""),0.6458333333321207)</f>
        <v>0.6458333333</v>
      </c>
      <c r="F59" s="24">
        <f>IFERROR(__xludf.DUMMYFUNCTION("""COMPUTED_VALUE"""),0.7083333333321207)</f>
        <v>0.7083333333</v>
      </c>
    </row>
    <row r="60">
      <c r="A60" s="28">
        <v>53.0</v>
      </c>
      <c r="B60" s="21">
        <f>IFERROR(__xludf.DUMMYFUNCTION("""COMPUTED_VALUE"""),45959.0)</f>
        <v>45959</v>
      </c>
      <c r="C60" s="29" t="str">
        <f>IFERROR(__xludf.DUMMYFUNCTION("""COMPUTED_VALUE"""),"Mardiana")</f>
        <v>Mardiana</v>
      </c>
      <c r="D60" s="29" t="str">
        <f>IFERROR(__xludf.DUMMYFUNCTION("""COMPUTED_VALUE"""),"Taekwondo Akhwat")</f>
        <v>Taekwondo Akhwat</v>
      </c>
      <c r="E60" s="24">
        <f>IFERROR(__xludf.DUMMYFUNCTION("""COMPUTED_VALUE"""),0.6458333333321207)</f>
        <v>0.6458333333</v>
      </c>
      <c r="F60" s="24">
        <f>IFERROR(__xludf.DUMMYFUNCTION("""COMPUTED_VALUE"""),0.7083333333321207)</f>
        <v>0.7083333333</v>
      </c>
    </row>
    <row r="61">
      <c r="A61" s="28">
        <v>54.0</v>
      </c>
      <c r="B61" s="21">
        <f>IFERROR(__xludf.DUMMYFUNCTION("""COMPUTED_VALUE"""),45959.0)</f>
        <v>45959</v>
      </c>
      <c r="C61" s="29" t="str">
        <f>IFERROR(__xludf.DUMMYFUNCTION("""COMPUTED_VALUE"""),"M. Rendi Al Furqan")</f>
        <v>M. Rendi Al Furqan</v>
      </c>
      <c r="D61" s="29" t="str">
        <f>IFERROR(__xludf.DUMMYFUNCTION("""COMPUTED_VALUE"""),"Taekwondo Ikhwan")</f>
        <v>Taekwondo Ikhwan</v>
      </c>
      <c r="E61" s="24">
        <f>IFERROR(__xludf.DUMMYFUNCTION("""COMPUTED_VALUE"""),0.6458333333321207)</f>
        <v>0.6458333333</v>
      </c>
      <c r="F61" s="24">
        <f>IFERROR(__xludf.DUMMYFUNCTION("""COMPUTED_VALUE"""),0.7083333333321207)</f>
        <v>0.7083333333</v>
      </c>
    </row>
    <row r="62">
      <c r="A62" s="28">
        <v>55.0</v>
      </c>
      <c r="B62" s="21">
        <f>IFERROR(__xludf.DUMMYFUNCTION("""COMPUTED_VALUE"""),45960.0)</f>
        <v>45960</v>
      </c>
      <c r="C62" s="29" t="str">
        <f>IFERROR(__xludf.DUMMYFUNCTION("""COMPUTED_VALUE"""),"Niyah")</f>
        <v>Niyah</v>
      </c>
      <c r="D62" s="29" t="str">
        <f>IFERROR(__xludf.DUMMYFUNCTION("""COMPUTED_VALUE"""),"Pramuka Akhwat")</f>
        <v>Pramuka Akhwat</v>
      </c>
      <c r="E62" s="24">
        <f>IFERROR(__xludf.DUMMYFUNCTION("""COMPUTED_VALUE"""),0.6458333333321207)</f>
        <v>0.6458333333</v>
      </c>
      <c r="F62" s="24">
        <f>IFERROR(__xludf.DUMMYFUNCTION("""COMPUTED_VALUE"""),0.7083333333321207)</f>
        <v>0.7083333333</v>
      </c>
    </row>
    <row r="63">
      <c r="A63" s="28">
        <v>56.0</v>
      </c>
      <c r="B63" s="21">
        <f>IFERROR(__xludf.DUMMYFUNCTION("""COMPUTED_VALUE"""),45959.0)</f>
        <v>45959</v>
      </c>
      <c r="C63" s="29" t="str">
        <f>IFERROR(__xludf.DUMMYFUNCTION("""COMPUTED_VALUE"""),"Rendy Ramadhani")</f>
        <v>Rendy Ramadhani</v>
      </c>
      <c r="D63" s="29" t="str">
        <f>IFERROR(__xludf.DUMMYFUNCTION("""COMPUTED_VALUE"""),"Silat Ikhwan")</f>
        <v>Silat Ikhwan</v>
      </c>
      <c r="E63" s="24">
        <f>IFERROR(__xludf.DUMMYFUNCTION("""COMPUTED_VALUE"""),0.6458333333321207)</f>
        <v>0.6458333333</v>
      </c>
      <c r="F63" s="24">
        <f>IFERROR(__xludf.DUMMYFUNCTION("""COMPUTED_VALUE"""),0.7083333333321207)</f>
        <v>0.7083333333</v>
      </c>
    </row>
    <row r="64">
      <c r="A64" s="28">
        <v>57.0</v>
      </c>
      <c r="B64" s="22"/>
      <c r="C64" s="29"/>
      <c r="D64" s="29"/>
      <c r="E64" s="24"/>
      <c r="F64" s="24"/>
    </row>
    <row r="65">
      <c r="A65" s="28">
        <v>58.0</v>
      </c>
      <c r="B65" s="22"/>
      <c r="C65" s="29"/>
      <c r="D65" s="29"/>
      <c r="E65" s="24"/>
      <c r="F65" s="24"/>
    </row>
    <row r="66">
      <c r="A66" s="28">
        <v>59.0</v>
      </c>
      <c r="B66" s="22"/>
      <c r="C66" s="29"/>
      <c r="D66" s="29"/>
      <c r="E66" s="24"/>
      <c r="F66" s="24"/>
    </row>
    <row r="67">
      <c r="A67" s="28">
        <v>60.0</v>
      </c>
      <c r="B67" s="22"/>
      <c r="C67" s="29"/>
      <c r="D67" s="29"/>
      <c r="E67" s="24"/>
      <c r="F67" s="24"/>
    </row>
    <row r="68">
      <c r="A68" s="28">
        <v>61.0</v>
      </c>
      <c r="B68" s="22"/>
      <c r="C68" s="29"/>
      <c r="D68" s="29"/>
      <c r="E68" s="24"/>
      <c r="F68" s="24"/>
    </row>
    <row r="69">
      <c r="A69" s="28">
        <v>62.0</v>
      </c>
      <c r="B69" s="22"/>
      <c r="C69" s="29"/>
      <c r="D69" s="29"/>
      <c r="E69" s="24"/>
      <c r="F69" s="24"/>
    </row>
    <row r="70">
      <c r="A70" s="28">
        <v>63.0</v>
      </c>
      <c r="B70" s="22"/>
      <c r="C70" s="29"/>
      <c r="D70" s="29"/>
      <c r="E70" s="24"/>
      <c r="F70" s="24"/>
    </row>
    <row r="71">
      <c r="A71" s="28">
        <v>64.0</v>
      </c>
      <c r="B71" s="22"/>
      <c r="C71" s="29"/>
      <c r="D71" s="29"/>
      <c r="E71" s="24"/>
      <c r="F71" s="24"/>
    </row>
    <row r="72">
      <c r="A72" s="28">
        <v>65.0</v>
      </c>
      <c r="B72" s="22"/>
      <c r="C72" s="29"/>
      <c r="D72" s="29"/>
      <c r="E72" s="24"/>
      <c r="F72" s="24"/>
    </row>
    <row r="73">
      <c r="A73" s="28">
        <v>66.0</v>
      </c>
      <c r="B73" s="22"/>
      <c r="C73" s="29"/>
      <c r="D73" s="29"/>
      <c r="E73" s="24"/>
      <c r="F73" s="24"/>
    </row>
    <row r="74">
      <c r="A74" s="28">
        <v>67.0</v>
      </c>
      <c r="B74" s="22"/>
      <c r="C74" s="29"/>
      <c r="D74" s="29"/>
      <c r="E74" s="24"/>
      <c r="F74" s="24"/>
    </row>
    <row r="75">
      <c r="A75" s="28">
        <v>68.0</v>
      </c>
      <c r="B75" s="22"/>
      <c r="C75" s="29"/>
      <c r="D75" s="29"/>
      <c r="E75" s="24"/>
      <c r="F75" s="24"/>
    </row>
    <row r="76">
      <c r="A76" s="28">
        <v>69.0</v>
      </c>
      <c r="B76" s="22"/>
      <c r="C76" s="29"/>
      <c r="D76" s="29"/>
      <c r="E76" s="24"/>
      <c r="F76" s="24"/>
    </row>
    <row r="77">
      <c r="A77" s="28">
        <v>70.0</v>
      </c>
      <c r="B77" s="22"/>
      <c r="C77" s="29"/>
      <c r="D77" s="29"/>
      <c r="E77" s="24"/>
      <c r="F77" s="24"/>
    </row>
    <row r="78">
      <c r="A78" s="28">
        <v>71.0</v>
      </c>
      <c r="B78" s="22"/>
      <c r="C78" s="29"/>
      <c r="D78" s="29"/>
      <c r="E78" s="24"/>
      <c r="F78" s="24"/>
    </row>
    <row r="79">
      <c r="A79" s="28">
        <v>72.0</v>
      </c>
      <c r="B79" s="22"/>
      <c r="C79" s="29"/>
      <c r="D79" s="29"/>
      <c r="E79" s="24"/>
      <c r="F79" s="24"/>
    </row>
    <row r="80">
      <c r="A80" s="28">
        <v>73.0</v>
      </c>
      <c r="B80" s="22"/>
      <c r="C80" s="29"/>
      <c r="D80" s="29"/>
      <c r="E80" s="24"/>
      <c r="F80" s="24"/>
    </row>
    <row r="81">
      <c r="A81" s="28">
        <v>74.0</v>
      </c>
      <c r="B81" s="22"/>
      <c r="C81" s="29"/>
      <c r="D81" s="29"/>
      <c r="E81" s="24"/>
      <c r="F81" s="24"/>
    </row>
    <row r="82">
      <c r="A82" s="28">
        <v>75.0</v>
      </c>
      <c r="B82" s="22"/>
      <c r="C82" s="29"/>
      <c r="D82" s="29"/>
      <c r="E82" s="24"/>
      <c r="F82" s="24"/>
    </row>
    <row r="83">
      <c r="A83" s="28">
        <v>76.0</v>
      </c>
      <c r="B83" s="22"/>
      <c r="C83" s="29"/>
      <c r="D83" s="29"/>
      <c r="E83" s="24"/>
      <c r="F83" s="24"/>
    </row>
    <row r="84">
      <c r="A84" s="28">
        <v>77.0</v>
      </c>
      <c r="B84" s="22"/>
      <c r="C84" s="29"/>
      <c r="D84" s="29"/>
      <c r="E84" s="24"/>
      <c r="F84" s="24"/>
    </row>
    <row r="85">
      <c r="A85" s="28">
        <v>78.0</v>
      </c>
      <c r="B85" s="22"/>
      <c r="C85" s="29"/>
      <c r="D85" s="29"/>
      <c r="E85" s="24"/>
      <c r="F85" s="24"/>
    </row>
    <row r="86">
      <c r="A86" s="28">
        <v>79.0</v>
      </c>
      <c r="B86" s="22"/>
      <c r="C86" s="29"/>
      <c r="D86" s="29"/>
      <c r="E86" s="24"/>
      <c r="F86" s="24"/>
    </row>
    <row r="87">
      <c r="A87" s="28">
        <v>80.0</v>
      </c>
      <c r="B87" s="22"/>
      <c r="C87" s="29"/>
      <c r="D87" s="29"/>
      <c r="E87" s="24"/>
      <c r="F87" s="24"/>
    </row>
    <row r="88">
      <c r="A88" s="28">
        <v>81.0</v>
      </c>
      <c r="B88" s="22"/>
      <c r="C88" s="29"/>
      <c r="D88" s="29"/>
      <c r="E88" s="24"/>
      <c r="F88" s="24"/>
    </row>
    <row r="89">
      <c r="A89" s="29"/>
      <c r="B89" s="29"/>
      <c r="C89" s="29"/>
      <c r="D89" s="29"/>
      <c r="E89" s="24"/>
      <c r="F89" s="24"/>
    </row>
    <row r="90">
      <c r="A90" s="29"/>
      <c r="B90" s="29"/>
      <c r="C90" s="29"/>
      <c r="D90" s="29"/>
      <c r="E90" s="24"/>
      <c r="F90" s="24"/>
    </row>
    <row r="91">
      <c r="A91" s="29"/>
      <c r="B91" s="29"/>
      <c r="C91" s="29"/>
      <c r="D91" s="29"/>
      <c r="E91" s="24"/>
      <c r="F91" s="24"/>
    </row>
    <row r="92">
      <c r="A92" s="29"/>
      <c r="B92" s="29"/>
      <c r="C92" s="29"/>
      <c r="D92" s="29"/>
      <c r="E92" s="24"/>
      <c r="F92" s="24"/>
    </row>
    <row r="93">
      <c r="A93" s="29"/>
      <c r="B93" s="29"/>
      <c r="C93" s="29"/>
      <c r="D93" s="29"/>
      <c r="E93" s="24"/>
      <c r="F93" s="24"/>
    </row>
    <row r="94">
      <c r="A94" s="29"/>
      <c r="B94" s="29"/>
      <c r="C94" s="29"/>
      <c r="D94" s="29"/>
      <c r="E94" s="24"/>
      <c r="F94" s="24"/>
    </row>
    <row r="95">
      <c r="A95" s="29"/>
      <c r="B95" s="29"/>
      <c r="C95" s="29"/>
      <c r="D95" s="29"/>
      <c r="E95" s="24"/>
      <c r="F95" s="24"/>
    </row>
    <row r="96">
      <c r="A96" s="29"/>
      <c r="B96" s="29"/>
      <c r="C96" s="29"/>
      <c r="D96" s="29"/>
      <c r="E96" s="24"/>
      <c r="F96" s="24"/>
    </row>
  </sheetData>
  <mergeCells count="8">
    <mergeCell ref="A3:G3"/>
    <mergeCell ref="A4:G4"/>
    <mergeCell ref="A6:A7"/>
    <mergeCell ref="B6:B7"/>
    <mergeCell ref="C6:C7"/>
    <mergeCell ref="D6:D7"/>
    <mergeCell ref="E6:F6"/>
    <mergeCell ref="G6:G7"/>
  </mergeCells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8.75"/>
    <col customWidth="1" min="3" max="3" width="21.25"/>
    <col customWidth="1" min="4" max="4" width="19.5"/>
    <col customWidth="1" min="5" max="5" width="12.25"/>
    <col customWidth="1" min="6" max="6" width="11.0"/>
    <col customWidth="1" min="7" max="7" width="17.75"/>
  </cols>
  <sheetData>
    <row r="1">
      <c r="A1" s="6" t="s">
        <v>49</v>
      </c>
    </row>
    <row r="3">
      <c r="A3" s="8" t="s">
        <v>50</v>
      </c>
    </row>
    <row r="4">
      <c r="A4" s="8" t="s">
        <v>51</v>
      </c>
    </row>
    <row r="6">
      <c r="A6" s="14" t="s">
        <v>52</v>
      </c>
      <c r="B6" s="15" t="s">
        <v>53</v>
      </c>
      <c r="C6" s="14" t="s">
        <v>2</v>
      </c>
      <c r="D6" s="14" t="s">
        <v>3</v>
      </c>
      <c r="E6" s="16" t="s">
        <v>57</v>
      </c>
      <c r="F6" s="17"/>
      <c r="G6" s="14" t="s">
        <v>56</v>
      </c>
    </row>
    <row r="7">
      <c r="A7" s="18"/>
      <c r="B7" s="18"/>
      <c r="C7" s="18"/>
      <c r="D7" s="18"/>
      <c r="E7" s="19" t="s">
        <v>54</v>
      </c>
      <c r="F7" s="19" t="s">
        <v>55</v>
      </c>
      <c r="G7" s="18"/>
    </row>
    <row r="8">
      <c r="A8" s="28">
        <v>1.0</v>
      </c>
      <c r="B8" s="21">
        <f>IFERROR(__xludf.DUMMYFUNCTION("QUERY(IMPORTRANGE($A$1,""Form Responses 1!A2:G""),""select Col2 where Col5='November'"")"),45962.0)</f>
        <v>45962</v>
      </c>
      <c r="C8" s="22" t="str">
        <f>IFERROR(__xludf.DUMMYFUNCTION("QUERY(IMPORTRANGE($A$1,""Form Responses 1!A2:G""),""select Col3 where Col5='November'"")"),"PAISAL, M.Pd")</f>
        <v>PAISAL, M.Pd</v>
      </c>
      <c r="D8" s="23" t="str">
        <f>IFERROR(__xludf.DUMMYFUNCTION("QUERY(IMPORTRANGE($A$1,""Form Responses 1!A2:G""),""select Col4 where Col5='November'"")"),"English Club Ikhwan")</f>
        <v>English Club Ikhwan</v>
      </c>
      <c r="E8" s="24">
        <f>IFERROR(__xludf.DUMMYFUNCTION("QUERY(IMPORTRANGE($A$1,""Form Responses 1!A2:G""),""select Col6 where Col5='November'"")"),0.375)</f>
        <v>0.375</v>
      </c>
      <c r="F8" s="24">
        <f>IFERROR(__xludf.DUMMYFUNCTION("QUERY(IMPORTRANGE($A$1,""Form Responses 1!A2:G""),""select Col7 where Col5='November'"")"),0.4583333333321207)</f>
        <v>0.4583333333</v>
      </c>
      <c r="G8" s="23"/>
    </row>
    <row r="9">
      <c r="A9" s="28">
        <v>2.0</v>
      </c>
      <c r="B9" s="21">
        <f>IFERROR(__xludf.DUMMYFUNCTION("""COMPUTED_VALUE"""),45962.0)</f>
        <v>45962</v>
      </c>
      <c r="C9" s="22" t="str">
        <f>IFERROR(__xludf.DUMMYFUNCTION("""COMPUTED_VALUE"""),"Erik Rahmana")</f>
        <v>Erik Rahmana</v>
      </c>
      <c r="D9" s="23" t="str">
        <f>IFERROR(__xludf.DUMMYFUNCTION("""COMPUTED_VALUE"""),"Volli Ikhwan")</f>
        <v>Volli Ikhwan</v>
      </c>
      <c r="E9" s="24">
        <f>IFERROR(__xludf.DUMMYFUNCTION("""COMPUTED_VALUE"""),0.3125)</f>
        <v>0.3125</v>
      </c>
      <c r="F9" s="24">
        <f>IFERROR(__xludf.DUMMYFUNCTION("""COMPUTED_VALUE"""),0.375)</f>
        <v>0.375</v>
      </c>
      <c r="G9" s="23"/>
    </row>
    <row r="10">
      <c r="A10" s="28">
        <v>3.0</v>
      </c>
      <c r="B10" s="21">
        <f>IFERROR(__xludf.DUMMYFUNCTION("""COMPUTED_VALUE"""),45966.0)</f>
        <v>45966</v>
      </c>
      <c r="C10" s="22" t="str">
        <f>IFERROR(__xludf.DUMMYFUNCTION("""COMPUTED_VALUE"""),"Anisa Sholihat")</f>
        <v>Anisa Sholihat</v>
      </c>
      <c r="D10" s="23" t="str">
        <f>IFERROR(__xludf.DUMMYFUNCTION("""COMPUTED_VALUE"""),"Silat Akhwat")</f>
        <v>Silat Akhwat</v>
      </c>
      <c r="E10" s="24">
        <f>IFERROR(__xludf.DUMMYFUNCTION("""COMPUTED_VALUE"""),0.6666666666678793)</f>
        <v>0.6666666667</v>
      </c>
      <c r="F10" s="24">
        <f>IFERROR(__xludf.DUMMYFUNCTION("""COMPUTED_VALUE"""),0.7083333333321207)</f>
        <v>0.7083333333</v>
      </c>
      <c r="G10" s="23"/>
    </row>
    <row r="11">
      <c r="A11" s="28">
        <v>4.0</v>
      </c>
      <c r="B11" s="21">
        <f>IFERROR(__xludf.DUMMYFUNCTION("""COMPUTED_VALUE"""),45966.0)</f>
        <v>45966</v>
      </c>
      <c r="C11" s="22" t="str">
        <f>IFERROR(__xludf.DUMMYFUNCTION("""COMPUTED_VALUE"""),"M. Rendi Al Furqan")</f>
        <v>M. Rendi Al Furqan</v>
      </c>
      <c r="D11" s="23" t="str">
        <f>IFERROR(__xludf.DUMMYFUNCTION("""COMPUTED_VALUE"""),"Taekwondo Ikhwan")</f>
        <v>Taekwondo Ikhwan</v>
      </c>
      <c r="E11" s="24">
        <f>IFERROR(__xludf.DUMMYFUNCTION("""COMPUTED_VALUE"""),0.6458333333321207)</f>
        <v>0.6458333333</v>
      </c>
      <c r="F11" s="24">
        <f>IFERROR(__xludf.DUMMYFUNCTION("""COMPUTED_VALUE"""),0.7083333333321207)</f>
        <v>0.7083333333</v>
      </c>
      <c r="G11" s="23"/>
    </row>
    <row r="12">
      <c r="A12" s="28">
        <v>5.0</v>
      </c>
      <c r="B12" s="21">
        <f>IFERROR(__xludf.DUMMYFUNCTION("""COMPUTED_VALUE"""),45966.0)</f>
        <v>45966</v>
      </c>
      <c r="C12" s="22" t="str">
        <f>IFERROR(__xludf.DUMMYFUNCTION("""COMPUTED_VALUE"""),"Mardiana")</f>
        <v>Mardiana</v>
      </c>
      <c r="D12" s="23" t="str">
        <f>IFERROR(__xludf.DUMMYFUNCTION("""COMPUTED_VALUE"""),"Taekwondo Akhwat")</f>
        <v>Taekwondo Akhwat</v>
      </c>
      <c r="E12" s="24">
        <f>IFERROR(__xludf.DUMMYFUNCTION("""COMPUTED_VALUE"""),0.6458333333321207)</f>
        <v>0.6458333333</v>
      </c>
      <c r="F12" s="24">
        <f>IFERROR(__xludf.DUMMYFUNCTION("""COMPUTED_VALUE"""),0.7083333333321207)</f>
        <v>0.7083333333</v>
      </c>
      <c r="G12" s="23"/>
    </row>
    <row r="13">
      <c r="A13" s="28">
        <v>6.0</v>
      </c>
      <c r="B13" s="21">
        <f>IFERROR(__xludf.DUMMYFUNCTION("""COMPUTED_VALUE"""),45966.0)</f>
        <v>45966</v>
      </c>
      <c r="C13" s="22" t="str">
        <f>IFERROR(__xludf.DUMMYFUNCTION("""COMPUTED_VALUE"""),"Abang Putra Pratama")</f>
        <v>Abang Putra Pratama</v>
      </c>
      <c r="D13" s="23" t="str">
        <f>IFERROR(__xludf.DUMMYFUNCTION("""COMPUTED_VALUE"""),"Karate Ikhwan")</f>
        <v>Karate Ikhwan</v>
      </c>
      <c r="E13" s="24">
        <f>IFERROR(__xludf.DUMMYFUNCTION("""COMPUTED_VALUE"""),0.6458333333321207)</f>
        <v>0.6458333333</v>
      </c>
      <c r="F13" s="24">
        <f>IFERROR(__xludf.DUMMYFUNCTION("""COMPUTED_VALUE"""),0.7083333333321207)</f>
        <v>0.7083333333</v>
      </c>
      <c r="G13" s="23"/>
    </row>
    <row r="14">
      <c r="A14" s="28">
        <v>7.0</v>
      </c>
      <c r="B14" s="21">
        <f>IFERROR(__xludf.DUMMYFUNCTION("""COMPUTED_VALUE"""),45966.0)</f>
        <v>45966</v>
      </c>
      <c r="C14" s="22" t="str">
        <f>IFERROR(__xludf.DUMMYFUNCTION("""COMPUTED_VALUE"""),"Januarti")</f>
        <v>Januarti</v>
      </c>
      <c r="D14" s="23" t="str">
        <f>IFERROR(__xludf.DUMMYFUNCTION("""COMPUTED_VALUE"""),"Karate Akhwat")</f>
        <v>Karate Akhwat</v>
      </c>
      <c r="E14" s="24">
        <f>IFERROR(__xludf.DUMMYFUNCTION("""COMPUTED_VALUE"""),0.65625)</f>
        <v>0.65625</v>
      </c>
      <c r="F14" s="24">
        <f>IFERROR(__xludf.DUMMYFUNCTION("""COMPUTED_VALUE"""),0.7083333333321207)</f>
        <v>0.7083333333</v>
      </c>
      <c r="G14" s="23"/>
    </row>
    <row r="15">
      <c r="A15" s="28">
        <v>8.0</v>
      </c>
      <c r="B15" s="21">
        <f>IFERROR(__xludf.DUMMYFUNCTION("""COMPUTED_VALUE"""),45966.0)</f>
        <v>45966</v>
      </c>
      <c r="C15" s="22" t="str">
        <f>IFERROR(__xludf.DUMMYFUNCTION("""COMPUTED_VALUE"""),"Rendy Ramadhani")</f>
        <v>Rendy Ramadhani</v>
      </c>
      <c r="D15" s="23" t="str">
        <f>IFERROR(__xludf.DUMMYFUNCTION("""COMPUTED_VALUE"""),"Silat Ikhwan")</f>
        <v>Silat Ikhwan</v>
      </c>
      <c r="E15" s="24">
        <f>IFERROR(__xludf.DUMMYFUNCTION("""COMPUTED_VALUE"""),0.6458333333321207)</f>
        <v>0.6458333333</v>
      </c>
      <c r="F15" s="24">
        <f>IFERROR(__xludf.DUMMYFUNCTION("""COMPUTED_VALUE"""),0.7083333333321207)</f>
        <v>0.7083333333</v>
      </c>
      <c r="G15" s="23"/>
    </row>
    <row r="16">
      <c r="A16" s="28">
        <v>9.0</v>
      </c>
      <c r="B16" s="21">
        <f>IFERROR(__xludf.DUMMYFUNCTION("""COMPUTED_VALUE"""),45966.0)</f>
        <v>45966</v>
      </c>
      <c r="C16" s="22" t="str">
        <f>IFERROR(__xludf.DUMMYFUNCTION("""COMPUTED_VALUE"""),"Ikhsan Syamsi")</f>
        <v>Ikhsan Syamsi</v>
      </c>
      <c r="D16" s="23" t="str">
        <f>IFERROR(__xludf.DUMMYFUNCTION("""COMPUTED_VALUE"""),"Silat Ikhwan")</f>
        <v>Silat Ikhwan</v>
      </c>
      <c r="E16" s="24">
        <f>IFERROR(__xludf.DUMMYFUNCTION("""COMPUTED_VALUE"""),0.6458333333321207)</f>
        <v>0.6458333333</v>
      </c>
      <c r="F16" s="24">
        <f>IFERROR(__xludf.DUMMYFUNCTION("""COMPUTED_VALUE"""),0.7083333333321207)</f>
        <v>0.7083333333</v>
      </c>
      <c r="G16" s="23"/>
    </row>
    <row r="17">
      <c r="A17" s="28">
        <v>10.0</v>
      </c>
      <c r="B17" s="21">
        <f>IFERROR(__xludf.DUMMYFUNCTION("""COMPUTED_VALUE"""),45967.0)</f>
        <v>45967</v>
      </c>
      <c r="C17" s="22" t="str">
        <f>IFERROR(__xludf.DUMMYFUNCTION("""COMPUTED_VALUE"""),"Niyah")</f>
        <v>Niyah</v>
      </c>
      <c r="D17" s="23" t="str">
        <f>IFERROR(__xludf.DUMMYFUNCTION("""COMPUTED_VALUE"""),"Pramuka Akhwat")</f>
        <v>Pramuka Akhwat</v>
      </c>
      <c r="E17" s="24">
        <f>IFERROR(__xludf.DUMMYFUNCTION("""COMPUTED_VALUE"""),0.6458333333321207)</f>
        <v>0.6458333333</v>
      </c>
      <c r="F17" s="24">
        <f>IFERROR(__xludf.DUMMYFUNCTION("""COMPUTED_VALUE"""),0.7083333333321207)</f>
        <v>0.7083333333</v>
      </c>
      <c r="G17" s="23"/>
    </row>
    <row r="18">
      <c r="A18" s="28">
        <v>11.0</v>
      </c>
      <c r="B18" s="21">
        <f>IFERROR(__xludf.DUMMYFUNCTION("""COMPUTED_VALUE"""),45969.0)</f>
        <v>45969</v>
      </c>
      <c r="C18" s="22" t="str">
        <f>IFERROR(__xludf.DUMMYFUNCTION("""COMPUTED_VALUE"""),"RIDHA  NURHALIZA")</f>
        <v>RIDHA  NURHALIZA</v>
      </c>
      <c r="D18" s="23" t="str">
        <f>IFERROR(__xludf.DUMMYFUNCTION("""COMPUTED_VALUE"""),"Jurnalistik Akhwat")</f>
        <v>Jurnalistik Akhwat</v>
      </c>
      <c r="E18" s="24">
        <f>IFERROR(__xludf.DUMMYFUNCTION("""COMPUTED_VALUE"""),0.3333333333321207)</f>
        <v>0.3333333333</v>
      </c>
      <c r="F18" s="24">
        <f>IFERROR(__xludf.DUMMYFUNCTION("""COMPUTED_VALUE"""),0.4166666666678793)</f>
        <v>0.4166666667</v>
      </c>
      <c r="G18" s="23"/>
    </row>
    <row r="19">
      <c r="A19" s="28">
        <v>12.0</v>
      </c>
      <c r="B19" s="21">
        <f>IFERROR(__xludf.DUMMYFUNCTION("""COMPUTED_VALUE"""),45969.0)</f>
        <v>45969</v>
      </c>
      <c r="C19" s="22" t="str">
        <f>IFERROR(__xludf.DUMMYFUNCTION("""COMPUTED_VALUE"""),"Ririn Rahmayanti")</f>
        <v>Ririn Rahmayanti</v>
      </c>
      <c r="D19" s="23" t="str">
        <f>IFERROR(__xludf.DUMMYFUNCTION("""COMPUTED_VALUE"""),"English Club Akhwat")</f>
        <v>English Club Akhwat</v>
      </c>
      <c r="E19" s="24">
        <f>IFERROR(__xludf.DUMMYFUNCTION("""COMPUTED_VALUE"""),0.375)</f>
        <v>0.375</v>
      </c>
      <c r="F19" s="24">
        <f>IFERROR(__xludf.DUMMYFUNCTION("""COMPUTED_VALUE"""),0.4583333333321207)</f>
        <v>0.4583333333</v>
      </c>
      <c r="G19" s="23"/>
    </row>
    <row r="20">
      <c r="A20" s="28">
        <v>13.0</v>
      </c>
      <c r="B20" s="21">
        <f>IFERROR(__xludf.DUMMYFUNCTION("""COMPUTED_VALUE"""),45969.0)</f>
        <v>45969</v>
      </c>
      <c r="C20" s="22" t="str">
        <f>IFERROR(__xludf.DUMMYFUNCTION("""COMPUTED_VALUE"""),"Yuyun Rusmita")</f>
        <v>Yuyun Rusmita</v>
      </c>
      <c r="D20" s="23" t="str">
        <f>IFERROR(__xludf.DUMMYFUNCTION("""COMPUTED_VALUE"""),"Volli Akhwat")</f>
        <v>Volli Akhwat</v>
      </c>
      <c r="E20" s="24">
        <f>IFERROR(__xludf.DUMMYFUNCTION("""COMPUTED_VALUE"""),0.29861111110949423)</f>
        <v>0.2986111111</v>
      </c>
      <c r="F20" s="24">
        <f>IFERROR(__xludf.DUMMYFUNCTION("""COMPUTED_VALUE"""),0.3819444444452529)</f>
        <v>0.3819444444</v>
      </c>
      <c r="G20" s="23"/>
    </row>
    <row r="21">
      <c r="A21" s="28">
        <v>14.0</v>
      </c>
      <c r="B21" s="21">
        <f>IFERROR(__xludf.DUMMYFUNCTION("""COMPUTED_VALUE"""),45969.0)</f>
        <v>45969</v>
      </c>
      <c r="C21" s="22" t="str">
        <f>IFERROR(__xludf.DUMMYFUNCTION("""COMPUTED_VALUE"""),"Mardiana")</f>
        <v>Mardiana</v>
      </c>
      <c r="D21" s="23" t="str">
        <f>IFERROR(__xludf.DUMMYFUNCTION("""COMPUTED_VALUE"""),"Taekwondo Akhwat")</f>
        <v>Taekwondo Akhwat</v>
      </c>
      <c r="E21" s="24">
        <f>IFERROR(__xludf.DUMMYFUNCTION("""COMPUTED_VALUE"""),0.4305555555547471)</f>
        <v>0.4305555556</v>
      </c>
      <c r="F21" s="24">
        <f>IFERROR(__xludf.DUMMYFUNCTION("""COMPUTED_VALUE"""),0.4791666666678793)</f>
        <v>0.4791666667</v>
      </c>
      <c r="G21" s="23"/>
    </row>
    <row r="22">
      <c r="A22" s="28">
        <v>15.0</v>
      </c>
      <c r="B22" s="21">
        <f>IFERROR(__xludf.DUMMYFUNCTION("""COMPUTED_VALUE"""),45969.0)</f>
        <v>45969</v>
      </c>
      <c r="C22" s="22" t="str">
        <f>IFERROR(__xludf.DUMMYFUNCTION("""COMPUTED_VALUE"""),"APSARI TRI RAHAYU")</f>
        <v>APSARI TRI RAHAYU</v>
      </c>
      <c r="D22" s="23" t="str">
        <f>IFERROR(__xludf.DUMMYFUNCTION("""COMPUTED_VALUE"""),"Panahan Akhwat")</f>
        <v>Panahan Akhwat</v>
      </c>
      <c r="E22" s="24">
        <f>IFERROR(__xludf.DUMMYFUNCTION("""COMPUTED_VALUE"""),0.3125)</f>
        <v>0.3125</v>
      </c>
      <c r="F22" s="24">
        <f>IFERROR(__xludf.DUMMYFUNCTION("""COMPUTED_VALUE"""),0.3958333333321207)</f>
        <v>0.3958333333</v>
      </c>
      <c r="G22" s="23"/>
    </row>
    <row r="23">
      <c r="A23" s="28">
        <v>16.0</v>
      </c>
      <c r="B23" s="21">
        <f>IFERROR(__xludf.DUMMYFUNCTION("""COMPUTED_VALUE"""),45970.0)</f>
        <v>45970</v>
      </c>
      <c r="C23" s="22" t="str">
        <f>IFERROR(__xludf.DUMMYFUNCTION("""COMPUTED_VALUE"""),"Mardiana")</f>
        <v>Mardiana</v>
      </c>
      <c r="D23" s="23" t="str">
        <f>IFERROR(__xludf.DUMMYFUNCTION("""COMPUTED_VALUE"""),"Taekwondo Akhwat")</f>
        <v>Taekwondo Akhwat</v>
      </c>
      <c r="E23" s="24">
        <f>IFERROR(__xludf.DUMMYFUNCTION("""COMPUTED_VALUE"""),0.4305555555547471)</f>
        <v>0.4305555556</v>
      </c>
      <c r="F23" s="24">
        <f>IFERROR(__xludf.DUMMYFUNCTION("""COMPUTED_VALUE"""),0.4791666666678793)</f>
        <v>0.4791666667</v>
      </c>
      <c r="G23" s="23"/>
    </row>
    <row r="24">
      <c r="A24" s="28">
        <v>17.0</v>
      </c>
      <c r="B24" s="21">
        <f>IFERROR(__xludf.DUMMYFUNCTION("""COMPUTED_VALUE"""),45973.0)</f>
        <v>45973</v>
      </c>
      <c r="C24" s="22" t="str">
        <f>IFERROR(__xludf.DUMMYFUNCTION("""COMPUTED_VALUE"""),"Mardiana")</f>
        <v>Mardiana</v>
      </c>
      <c r="D24" s="23" t="str">
        <f>IFERROR(__xludf.DUMMYFUNCTION("""COMPUTED_VALUE"""),"Taekwondo Akhwat")</f>
        <v>Taekwondo Akhwat</v>
      </c>
      <c r="E24" s="24">
        <f>IFERROR(__xludf.DUMMYFUNCTION("""COMPUTED_VALUE"""),0.6458333333321207)</f>
        <v>0.6458333333</v>
      </c>
      <c r="F24" s="24">
        <f>IFERROR(__xludf.DUMMYFUNCTION("""COMPUTED_VALUE"""),0.7083333333321207)</f>
        <v>0.7083333333</v>
      </c>
      <c r="G24" s="23"/>
    </row>
    <row r="25">
      <c r="A25" s="28">
        <v>18.0</v>
      </c>
      <c r="B25" s="21">
        <f>IFERROR(__xludf.DUMMYFUNCTION("""COMPUTED_VALUE"""),45973.0)</f>
        <v>45973</v>
      </c>
      <c r="C25" s="22" t="str">
        <f>IFERROR(__xludf.DUMMYFUNCTION("""COMPUTED_VALUE"""),"Anisa Sholihat")</f>
        <v>Anisa Sholihat</v>
      </c>
      <c r="D25" s="23" t="str">
        <f>IFERROR(__xludf.DUMMYFUNCTION("""COMPUTED_VALUE"""),"Silat Akhwat")</f>
        <v>Silat Akhwat</v>
      </c>
      <c r="E25" s="24">
        <f>IFERROR(__xludf.DUMMYFUNCTION("""COMPUTED_VALUE"""),0.6666666666678793)</f>
        <v>0.6666666667</v>
      </c>
      <c r="F25" s="24">
        <f>IFERROR(__xludf.DUMMYFUNCTION("""COMPUTED_VALUE"""),0.7083333333321207)</f>
        <v>0.7083333333</v>
      </c>
      <c r="G25" s="23"/>
    </row>
    <row r="26">
      <c r="A26" s="28">
        <v>19.0</v>
      </c>
      <c r="B26" s="21">
        <f>IFERROR(__xludf.DUMMYFUNCTION("""COMPUTED_VALUE"""),45974.0)</f>
        <v>45974</v>
      </c>
      <c r="C26" s="22" t="str">
        <f>IFERROR(__xludf.DUMMYFUNCTION("""COMPUTED_VALUE"""),"Niyah")</f>
        <v>Niyah</v>
      </c>
      <c r="D26" s="23" t="str">
        <f>IFERROR(__xludf.DUMMYFUNCTION("""COMPUTED_VALUE"""),"Pramuka Akhwat")</f>
        <v>Pramuka Akhwat</v>
      </c>
      <c r="E26" s="24">
        <f>IFERROR(__xludf.DUMMYFUNCTION("""COMPUTED_VALUE"""),0.625)</f>
        <v>0.625</v>
      </c>
      <c r="F26" s="24">
        <f>IFERROR(__xludf.DUMMYFUNCTION("""COMPUTED_VALUE"""),0.7083333333321207)</f>
        <v>0.7083333333</v>
      </c>
      <c r="G26" s="23"/>
    </row>
    <row r="27">
      <c r="A27" s="28">
        <v>20.0</v>
      </c>
      <c r="B27" s="21">
        <f>IFERROR(__xludf.DUMMYFUNCTION("""COMPUTED_VALUE"""),45973.0)</f>
        <v>45973</v>
      </c>
      <c r="C27" s="22" t="str">
        <f>IFERROR(__xludf.DUMMYFUNCTION("""COMPUTED_VALUE"""),"Abang Putra Pratama")</f>
        <v>Abang Putra Pratama</v>
      </c>
      <c r="D27" s="23" t="str">
        <f>IFERROR(__xludf.DUMMYFUNCTION("""COMPUTED_VALUE"""),"Karate Ikhwan")</f>
        <v>Karate Ikhwan</v>
      </c>
      <c r="E27" s="24">
        <f>IFERROR(__xludf.DUMMYFUNCTION("""COMPUTED_VALUE"""),0.6458333333321207)</f>
        <v>0.6458333333</v>
      </c>
      <c r="F27" s="24">
        <f>IFERROR(__xludf.DUMMYFUNCTION("""COMPUTED_VALUE"""),0.7083333333321207)</f>
        <v>0.7083333333</v>
      </c>
      <c r="G27" s="23"/>
    </row>
    <row r="28">
      <c r="A28" s="28">
        <v>21.0</v>
      </c>
      <c r="B28" s="21">
        <f>IFERROR(__xludf.DUMMYFUNCTION("""COMPUTED_VALUE"""),45976.0)</f>
        <v>45976</v>
      </c>
      <c r="C28" s="22" t="str">
        <f>IFERROR(__xludf.DUMMYFUNCTION("""COMPUTED_VALUE"""),"Musa Harahap")</f>
        <v>Musa Harahap</v>
      </c>
      <c r="D28" s="23" t="str">
        <f>IFERROR(__xludf.DUMMYFUNCTION("""COMPUTED_VALUE"""),"Futsal")</f>
        <v>Futsal</v>
      </c>
      <c r="E28" s="24">
        <f>IFERROR(__xludf.DUMMYFUNCTION("""COMPUTED_VALUE"""),0.2916666666678793)</f>
        <v>0.2916666667</v>
      </c>
      <c r="F28" s="24">
        <f>IFERROR(__xludf.DUMMYFUNCTION("""COMPUTED_VALUE"""),0.375)</f>
        <v>0.375</v>
      </c>
      <c r="G28" s="23"/>
    </row>
    <row r="29">
      <c r="A29" s="28">
        <v>22.0</v>
      </c>
      <c r="B29" s="21">
        <f>IFERROR(__xludf.DUMMYFUNCTION("""COMPUTED_VALUE"""),45976.0)</f>
        <v>45976</v>
      </c>
      <c r="C29" s="22" t="str">
        <f>IFERROR(__xludf.DUMMYFUNCTION("""COMPUTED_VALUE"""),"Ririn Rahmayanti")</f>
        <v>Ririn Rahmayanti</v>
      </c>
      <c r="D29" s="23" t="str">
        <f>IFERROR(__xludf.DUMMYFUNCTION("""COMPUTED_VALUE"""),"English Club Akhwat")</f>
        <v>English Club Akhwat</v>
      </c>
      <c r="E29" s="24">
        <f>IFERROR(__xludf.DUMMYFUNCTION("""COMPUTED_VALUE"""),0.375)</f>
        <v>0.375</v>
      </c>
      <c r="F29" s="24">
        <f>IFERROR(__xludf.DUMMYFUNCTION("""COMPUTED_VALUE"""),0.4583333333321207)</f>
        <v>0.4583333333</v>
      </c>
      <c r="G29" s="23"/>
    </row>
    <row r="30">
      <c r="A30" s="28">
        <v>23.0</v>
      </c>
      <c r="B30" s="21">
        <f>IFERROR(__xludf.DUMMYFUNCTION("""COMPUTED_VALUE"""),45976.0)</f>
        <v>45976</v>
      </c>
      <c r="C30" s="22" t="str">
        <f>IFERROR(__xludf.DUMMYFUNCTION("""COMPUTED_VALUE"""),"Erik Rahmana")</f>
        <v>Erik Rahmana</v>
      </c>
      <c r="D30" s="23" t="str">
        <f>IFERROR(__xludf.DUMMYFUNCTION("""COMPUTED_VALUE"""),"Volli Ikhwan")</f>
        <v>Volli Ikhwan</v>
      </c>
      <c r="E30" s="24">
        <f>IFERROR(__xludf.DUMMYFUNCTION("""COMPUTED_VALUE"""),0.3125)</f>
        <v>0.3125</v>
      </c>
      <c r="F30" s="24">
        <f>IFERROR(__xludf.DUMMYFUNCTION("""COMPUTED_VALUE"""),0.375)</f>
        <v>0.375</v>
      </c>
      <c r="G30" s="23"/>
    </row>
    <row r="31">
      <c r="A31" s="28">
        <v>24.0</v>
      </c>
      <c r="B31" s="21">
        <f>IFERROR(__xludf.DUMMYFUNCTION("""COMPUTED_VALUE"""),45976.0)</f>
        <v>45976</v>
      </c>
      <c r="C31" s="22" t="str">
        <f>IFERROR(__xludf.DUMMYFUNCTION("""COMPUTED_VALUE"""),"Yuyun Rusmita")</f>
        <v>Yuyun Rusmita</v>
      </c>
      <c r="D31" s="23" t="str">
        <f>IFERROR(__xludf.DUMMYFUNCTION("""COMPUTED_VALUE"""),"Volli Akhwat")</f>
        <v>Volli Akhwat</v>
      </c>
      <c r="E31" s="24">
        <f>IFERROR(__xludf.DUMMYFUNCTION("""COMPUTED_VALUE"""),0.29861111110949423)</f>
        <v>0.2986111111</v>
      </c>
      <c r="F31" s="24">
        <f>IFERROR(__xludf.DUMMYFUNCTION("""COMPUTED_VALUE"""),0.3819444444452529)</f>
        <v>0.3819444444</v>
      </c>
      <c r="G31" s="23"/>
    </row>
    <row r="32">
      <c r="A32" s="28">
        <v>25.0</v>
      </c>
      <c r="B32" s="21">
        <f>IFERROR(__xludf.DUMMYFUNCTION("""COMPUTED_VALUE"""),45976.0)</f>
        <v>45976</v>
      </c>
      <c r="C32" s="22" t="str">
        <f>IFERROR(__xludf.DUMMYFUNCTION("""COMPUTED_VALUE"""),"APSARI TRI RAHAYU")</f>
        <v>APSARI TRI RAHAYU</v>
      </c>
      <c r="D32" s="23" t="str">
        <f>IFERROR(__xludf.DUMMYFUNCTION("""COMPUTED_VALUE"""),"Panahan Akhwat")</f>
        <v>Panahan Akhwat</v>
      </c>
      <c r="E32" s="24">
        <f>IFERROR(__xludf.DUMMYFUNCTION("""COMPUTED_VALUE"""),0.2916666666678793)</f>
        <v>0.2916666667</v>
      </c>
      <c r="F32" s="24">
        <f>IFERROR(__xludf.DUMMYFUNCTION("""COMPUTED_VALUE"""),0.375)</f>
        <v>0.375</v>
      </c>
      <c r="G32" s="23"/>
    </row>
    <row r="33">
      <c r="A33" s="28">
        <v>26.0</v>
      </c>
      <c r="B33" s="21">
        <f>IFERROR(__xludf.DUMMYFUNCTION("""COMPUTED_VALUE"""),45976.0)</f>
        <v>45976</v>
      </c>
      <c r="C33" s="22" t="str">
        <f>IFERROR(__xludf.DUMMYFUNCTION("""COMPUTED_VALUE"""),"APRIYANTI")</f>
        <v>APRIYANTI</v>
      </c>
      <c r="D33" s="23" t="str">
        <f>IFERROR(__xludf.DUMMYFUNCTION("""COMPUTED_VALUE"""),"Desain Poster AKhwat")</f>
        <v>Desain Poster AKhwat</v>
      </c>
      <c r="E33" s="24">
        <f>IFERROR(__xludf.DUMMYFUNCTION("""COMPUTED_VALUE"""),0.3854166666678793)</f>
        <v>0.3854166667</v>
      </c>
      <c r="F33" s="24">
        <f>IFERROR(__xludf.DUMMYFUNCTION("""COMPUTED_VALUE"""),0.46875)</f>
        <v>0.46875</v>
      </c>
      <c r="G33" s="23"/>
    </row>
    <row r="34">
      <c r="A34" s="28">
        <v>27.0</v>
      </c>
      <c r="B34" s="21">
        <f>IFERROR(__xludf.DUMMYFUNCTION("""COMPUTED_VALUE"""),45973.0)</f>
        <v>45973</v>
      </c>
      <c r="C34" s="22" t="str">
        <f>IFERROR(__xludf.DUMMYFUNCTION("""COMPUTED_VALUE"""),"M. Rendi Al Furqan")</f>
        <v>M. Rendi Al Furqan</v>
      </c>
      <c r="D34" s="23" t="str">
        <f>IFERROR(__xludf.DUMMYFUNCTION("""COMPUTED_VALUE"""),"Taekwondo Ikhwan")</f>
        <v>Taekwondo Ikhwan</v>
      </c>
      <c r="E34" s="24">
        <f>IFERROR(__xludf.DUMMYFUNCTION("""COMPUTED_VALUE"""),0.6458333333321207)</f>
        <v>0.6458333333</v>
      </c>
      <c r="F34" s="24">
        <f>IFERROR(__xludf.DUMMYFUNCTION("""COMPUTED_VALUE"""),0.7083333333321207)</f>
        <v>0.7083333333</v>
      </c>
      <c r="G34" s="23"/>
    </row>
    <row r="35">
      <c r="A35" s="28">
        <v>28.0</v>
      </c>
      <c r="B35" s="21">
        <f>IFERROR(__xludf.DUMMYFUNCTION("""COMPUTED_VALUE"""),45976.0)</f>
        <v>45976</v>
      </c>
      <c r="C35" s="22" t="str">
        <f>IFERROR(__xludf.DUMMYFUNCTION("""COMPUTED_VALUE"""),"M. Rendi Al Furqan")</f>
        <v>M. Rendi Al Furqan</v>
      </c>
      <c r="D35" s="23" t="str">
        <f>IFERROR(__xludf.DUMMYFUNCTION("""COMPUTED_VALUE"""),"Taekwondo Ikhwan")</f>
        <v>Taekwondo Ikhwan</v>
      </c>
      <c r="E35" s="24">
        <f>IFERROR(__xludf.DUMMYFUNCTION("""COMPUTED_VALUE"""),0.2916666666678793)</f>
        <v>0.2916666667</v>
      </c>
      <c r="F35" s="24">
        <f>IFERROR(__xludf.DUMMYFUNCTION("""COMPUTED_VALUE"""),0.7083333333321207)</f>
        <v>0.7083333333</v>
      </c>
      <c r="G35" s="23"/>
    </row>
    <row r="36">
      <c r="A36" s="28">
        <v>29.0</v>
      </c>
      <c r="B36" s="21">
        <f>IFERROR(__xludf.DUMMYFUNCTION("""COMPUTED_VALUE"""),45977.0)</f>
        <v>45977</v>
      </c>
      <c r="C36" s="22" t="str">
        <f>IFERROR(__xludf.DUMMYFUNCTION("""COMPUTED_VALUE"""),"M. Rendi Al Furqan")</f>
        <v>M. Rendi Al Furqan</v>
      </c>
      <c r="D36" s="23" t="str">
        <f>IFERROR(__xludf.DUMMYFUNCTION("""COMPUTED_VALUE"""),"Taekwondo Ikhwan")</f>
        <v>Taekwondo Ikhwan</v>
      </c>
      <c r="E36" s="24">
        <f>IFERROR(__xludf.DUMMYFUNCTION("""COMPUTED_VALUE"""),0.2916666666678793)</f>
        <v>0.2916666667</v>
      </c>
      <c r="F36" s="24">
        <f>IFERROR(__xludf.DUMMYFUNCTION("""COMPUTED_VALUE"""),0.7083333333321207)</f>
        <v>0.7083333333</v>
      </c>
      <c r="G36" s="23"/>
    </row>
    <row r="37">
      <c r="A37" s="28">
        <v>30.0</v>
      </c>
      <c r="B37" s="21">
        <f>IFERROR(__xludf.DUMMYFUNCTION("""COMPUTED_VALUE"""),45980.0)</f>
        <v>45980</v>
      </c>
      <c r="C37" s="22" t="str">
        <f>IFERROR(__xludf.DUMMYFUNCTION("""COMPUTED_VALUE"""),"Mardiana")</f>
        <v>Mardiana</v>
      </c>
      <c r="D37" s="23" t="str">
        <f>IFERROR(__xludf.DUMMYFUNCTION("""COMPUTED_VALUE"""),"Taekwondo Akhwat")</f>
        <v>Taekwondo Akhwat</v>
      </c>
      <c r="E37" s="24">
        <f>IFERROR(__xludf.DUMMYFUNCTION("""COMPUTED_VALUE"""),0.6666666666678793)</f>
        <v>0.6666666667</v>
      </c>
      <c r="F37" s="24">
        <f>IFERROR(__xludf.DUMMYFUNCTION("""COMPUTED_VALUE"""),0.6979166666678793)</f>
        <v>0.6979166667</v>
      </c>
      <c r="G37" s="23"/>
    </row>
    <row r="38">
      <c r="A38" s="28">
        <v>31.0</v>
      </c>
      <c r="B38" s="21">
        <f>IFERROR(__xludf.DUMMYFUNCTION("""COMPUTED_VALUE"""),45980.0)</f>
        <v>45980</v>
      </c>
      <c r="C38" s="22" t="str">
        <f>IFERROR(__xludf.DUMMYFUNCTION("""COMPUTED_VALUE"""),"Anisa Sholihat")</f>
        <v>Anisa Sholihat</v>
      </c>
      <c r="D38" s="23" t="str">
        <f>IFERROR(__xludf.DUMMYFUNCTION("""COMPUTED_VALUE"""),"Silat Akhwat")</f>
        <v>Silat Akhwat</v>
      </c>
      <c r="E38" s="24">
        <f>IFERROR(__xludf.DUMMYFUNCTION("""COMPUTED_VALUE"""),0.6666666666678793)</f>
        <v>0.6666666667</v>
      </c>
      <c r="F38" s="24">
        <f>IFERROR(__xludf.DUMMYFUNCTION("""COMPUTED_VALUE"""),0.7083333333321207)</f>
        <v>0.7083333333</v>
      </c>
      <c r="G38" s="23"/>
    </row>
    <row r="39">
      <c r="A39" s="28">
        <v>32.0</v>
      </c>
      <c r="B39" s="21">
        <f>IFERROR(__xludf.DUMMYFUNCTION("""COMPUTED_VALUE"""),45980.0)</f>
        <v>45980</v>
      </c>
      <c r="C39" s="22" t="str">
        <f>IFERROR(__xludf.DUMMYFUNCTION("""COMPUTED_VALUE"""),"M. Rendi Al Furqan")</f>
        <v>M. Rendi Al Furqan</v>
      </c>
      <c r="D39" s="23" t="str">
        <f>IFERROR(__xludf.DUMMYFUNCTION("""COMPUTED_VALUE"""),"Taekwondo Ikhwan")</f>
        <v>Taekwondo Ikhwan</v>
      </c>
      <c r="E39" s="24">
        <f>IFERROR(__xludf.DUMMYFUNCTION("""COMPUTED_VALUE"""),0.6458333333321207)</f>
        <v>0.6458333333</v>
      </c>
      <c r="F39" s="24">
        <f>IFERROR(__xludf.DUMMYFUNCTION("""COMPUTED_VALUE"""),0.7083333333321207)</f>
        <v>0.7083333333</v>
      </c>
      <c r="G39" s="23"/>
    </row>
    <row r="40">
      <c r="A40" s="28">
        <v>33.0</v>
      </c>
      <c r="B40" s="21">
        <f>IFERROR(__xludf.DUMMYFUNCTION("""COMPUTED_VALUE"""),45980.0)</f>
        <v>45980</v>
      </c>
      <c r="C40" s="22" t="str">
        <f>IFERROR(__xludf.DUMMYFUNCTION("""COMPUTED_VALUE"""),"Januarti")</f>
        <v>Januarti</v>
      </c>
      <c r="D40" s="23" t="str">
        <f>IFERROR(__xludf.DUMMYFUNCTION("""COMPUTED_VALUE"""),"Karate Akhwat")</f>
        <v>Karate Akhwat</v>
      </c>
      <c r="E40" s="24">
        <f>IFERROR(__xludf.DUMMYFUNCTION("""COMPUTED_VALUE"""),0.65625)</f>
        <v>0.65625</v>
      </c>
      <c r="F40" s="24">
        <f>IFERROR(__xludf.DUMMYFUNCTION("""COMPUTED_VALUE"""),0.7083333333321207)</f>
        <v>0.7083333333</v>
      </c>
      <c r="G40" s="23"/>
    </row>
    <row r="41">
      <c r="A41" s="28">
        <v>34.0</v>
      </c>
      <c r="B41" s="21">
        <f>IFERROR(__xludf.DUMMYFUNCTION("""COMPUTED_VALUE"""),45980.0)</f>
        <v>45980</v>
      </c>
      <c r="C41" s="22" t="str">
        <f>IFERROR(__xludf.DUMMYFUNCTION("""COMPUTED_VALUE"""),"Abang Putra Pratama")</f>
        <v>Abang Putra Pratama</v>
      </c>
      <c r="D41" s="23" t="str">
        <f>IFERROR(__xludf.DUMMYFUNCTION("""COMPUTED_VALUE"""),"Karate Ikhwan")</f>
        <v>Karate Ikhwan</v>
      </c>
      <c r="E41" s="24">
        <f>IFERROR(__xludf.DUMMYFUNCTION("""COMPUTED_VALUE"""),0.6458333333321207)</f>
        <v>0.6458333333</v>
      </c>
      <c r="F41" s="24">
        <f>IFERROR(__xludf.DUMMYFUNCTION("""COMPUTED_VALUE"""),0.7083333333321207)</f>
        <v>0.7083333333</v>
      </c>
      <c r="G41" s="23"/>
    </row>
    <row r="42">
      <c r="A42" s="28">
        <v>35.0</v>
      </c>
      <c r="B42" s="21">
        <f>IFERROR(__xludf.DUMMYFUNCTION("""COMPUTED_VALUE"""),45980.0)</f>
        <v>45980</v>
      </c>
      <c r="C42" s="22" t="str">
        <f>IFERROR(__xludf.DUMMYFUNCTION("""COMPUTED_VALUE"""),"Rendy Ramadhani")</f>
        <v>Rendy Ramadhani</v>
      </c>
      <c r="D42" s="23" t="str">
        <f>IFERROR(__xludf.DUMMYFUNCTION("""COMPUTED_VALUE"""),"Silat Ikhwan")</f>
        <v>Silat Ikhwan</v>
      </c>
      <c r="E42" s="24">
        <f>IFERROR(__xludf.DUMMYFUNCTION("""COMPUTED_VALUE"""),0.6458333333321207)</f>
        <v>0.6458333333</v>
      </c>
      <c r="F42" s="24">
        <f>IFERROR(__xludf.DUMMYFUNCTION("""COMPUTED_VALUE"""),0.7083333333321207)</f>
        <v>0.7083333333</v>
      </c>
      <c r="G42" s="23"/>
    </row>
    <row r="43">
      <c r="A43" s="28">
        <v>36.0</v>
      </c>
      <c r="B43" s="21">
        <f>IFERROR(__xludf.DUMMYFUNCTION("""COMPUTED_VALUE"""),45973.0)</f>
        <v>45973</v>
      </c>
      <c r="C43" s="22" t="str">
        <f>IFERROR(__xludf.DUMMYFUNCTION("""COMPUTED_VALUE"""),"Rendy Ramadhani")</f>
        <v>Rendy Ramadhani</v>
      </c>
      <c r="D43" s="23" t="str">
        <f>IFERROR(__xludf.DUMMYFUNCTION("""COMPUTED_VALUE"""),"Silat Ikhwan")</f>
        <v>Silat Ikhwan</v>
      </c>
      <c r="E43" s="24">
        <f>IFERROR(__xludf.DUMMYFUNCTION("""COMPUTED_VALUE"""),0.6458333333321207)</f>
        <v>0.6458333333</v>
      </c>
      <c r="F43" s="24">
        <f>IFERROR(__xludf.DUMMYFUNCTION("""COMPUTED_VALUE"""),0.7083333333321207)</f>
        <v>0.7083333333</v>
      </c>
      <c r="G43" s="23"/>
    </row>
    <row r="44">
      <c r="A44" s="28">
        <v>37.0</v>
      </c>
      <c r="B44" s="21">
        <f>IFERROR(__xludf.DUMMYFUNCTION("""COMPUTED_VALUE"""),45980.0)</f>
        <v>45980</v>
      </c>
      <c r="C44" s="22" t="str">
        <f>IFERROR(__xludf.DUMMYFUNCTION("""COMPUTED_VALUE"""),"Ikhsan Syamsi")</f>
        <v>Ikhsan Syamsi</v>
      </c>
      <c r="D44" s="23" t="str">
        <f>IFERROR(__xludf.DUMMYFUNCTION("""COMPUTED_VALUE"""),"Silat Ikhwan")</f>
        <v>Silat Ikhwan</v>
      </c>
      <c r="E44" s="24">
        <f>IFERROR(__xludf.DUMMYFUNCTION("""COMPUTED_VALUE"""),0.6458333333321207)</f>
        <v>0.6458333333</v>
      </c>
      <c r="F44" s="24">
        <f>IFERROR(__xludf.DUMMYFUNCTION("""COMPUTED_VALUE"""),0.7083333333321207)</f>
        <v>0.7083333333</v>
      </c>
      <c r="G44" s="23"/>
    </row>
    <row r="45">
      <c r="A45" s="28">
        <v>38.0</v>
      </c>
      <c r="B45" s="21">
        <f>IFERROR(__xludf.DUMMYFUNCTION("""COMPUTED_VALUE"""),45981.0)</f>
        <v>45981</v>
      </c>
      <c r="C45" s="29" t="str">
        <f>IFERROR(__xludf.DUMMYFUNCTION("""COMPUTED_VALUE"""),"Niyah")</f>
        <v>Niyah</v>
      </c>
      <c r="D45" s="29" t="str">
        <f>IFERROR(__xludf.DUMMYFUNCTION("""COMPUTED_VALUE"""),"Pramuka Akhwat")</f>
        <v>Pramuka Akhwat</v>
      </c>
      <c r="E45" s="24">
        <f>IFERROR(__xludf.DUMMYFUNCTION("""COMPUTED_VALUE"""),0.625)</f>
        <v>0.625</v>
      </c>
      <c r="F45" s="24">
        <f>IFERROR(__xludf.DUMMYFUNCTION("""COMPUTED_VALUE"""),0.7083333333321207)</f>
        <v>0.7083333333</v>
      </c>
    </row>
    <row r="46">
      <c r="A46" s="28">
        <v>39.0</v>
      </c>
      <c r="B46" s="21">
        <f>IFERROR(__xludf.DUMMYFUNCTION("""COMPUTED_VALUE"""),45983.0)</f>
        <v>45983</v>
      </c>
      <c r="C46" s="29" t="str">
        <f>IFERROR(__xludf.DUMMYFUNCTION("""COMPUTED_VALUE"""),"Musa Harahap")</f>
        <v>Musa Harahap</v>
      </c>
      <c r="D46" s="29" t="str">
        <f>IFERROR(__xludf.DUMMYFUNCTION("""COMPUTED_VALUE"""),"Futsal")</f>
        <v>Futsal</v>
      </c>
      <c r="E46" s="24">
        <f>IFERROR(__xludf.DUMMYFUNCTION("""COMPUTED_VALUE"""),0.2916666666678793)</f>
        <v>0.2916666667</v>
      </c>
      <c r="F46" s="24">
        <f>IFERROR(__xludf.DUMMYFUNCTION("""COMPUTED_VALUE"""),0.375)</f>
        <v>0.375</v>
      </c>
    </row>
    <row r="47">
      <c r="A47" s="28">
        <v>40.0</v>
      </c>
      <c r="B47" s="21">
        <f>IFERROR(__xludf.DUMMYFUNCTION("""COMPUTED_VALUE"""),45983.0)</f>
        <v>45983</v>
      </c>
      <c r="C47" s="29" t="str">
        <f>IFERROR(__xludf.DUMMYFUNCTION("""COMPUTED_VALUE"""),"PAISAL, M.Pd")</f>
        <v>PAISAL, M.Pd</v>
      </c>
      <c r="D47" s="29" t="str">
        <f>IFERROR(__xludf.DUMMYFUNCTION("""COMPUTED_VALUE"""),"English Club Ikhwan")</f>
        <v>English Club Ikhwan</v>
      </c>
      <c r="E47" s="24">
        <f>IFERROR(__xludf.DUMMYFUNCTION("""COMPUTED_VALUE"""),0.375)</f>
        <v>0.375</v>
      </c>
      <c r="F47" s="24">
        <f>IFERROR(__xludf.DUMMYFUNCTION("""COMPUTED_VALUE"""),0.4583333333321207)</f>
        <v>0.4583333333</v>
      </c>
    </row>
    <row r="48">
      <c r="A48" s="28">
        <v>41.0</v>
      </c>
      <c r="B48" s="21">
        <f>IFERROR(__xludf.DUMMYFUNCTION("""COMPUTED_VALUE"""),45983.0)</f>
        <v>45983</v>
      </c>
      <c r="C48" s="29" t="str">
        <f>IFERROR(__xludf.DUMMYFUNCTION("""COMPUTED_VALUE"""),"Erik Rahmana")</f>
        <v>Erik Rahmana</v>
      </c>
      <c r="D48" s="29" t="str">
        <f>IFERROR(__xludf.DUMMYFUNCTION("""COMPUTED_VALUE"""),"Volli Ikhwan")</f>
        <v>Volli Ikhwan</v>
      </c>
      <c r="E48" s="24">
        <f>IFERROR(__xludf.DUMMYFUNCTION("""COMPUTED_VALUE"""),0.3125)</f>
        <v>0.3125</v>
      </c>
      <c r="F48" s="24">
        <f>IFERROR(__xludf.DUMMYFUNCTION("""COMPUTED_VALUE"""),0.3854166666678793)</f>
        <v>0.3854166667</v>
      </c>
    </row>
    <row r="49">
      <c r="A49" s="28">
        <v>42.0</v>
      </c>
      <c r="B49" s="21">
        <f>IFERROR(__xludf.DUMMYFUNCTION("""COMPUTED_VALUE"""),45987.0)</f>
        <v>45987</v>
      </c>
      <c r="C49" s="29" t="str">
        <f>IFERROR(__xludf.DUMMYFUNCTION("""COMPUTED_VALUE"""),"Abang Putra Pratama")</f>
        <v>Abang Putra Pratama</v>
      </c>
      <c r="D49" s="29" t="str">
        <f>IFERROR(__xludf.DUMMYFUNCTION("""COMPUTED_VALUE"""),"Karate Ikhwan")</f>
        <v>Karate Ikhwan</v>
      </c>
      <c r="E49" s="24">
        <f>IFERROR(__xludf.DUMMYFUNCTION("""COMPUTED_VALUE"""),0.6458333333321207)</f>
        <v>0.6458333333</v>
      </c>
      <c r="F49" s="24">
        <f>IFERROR(__xludf.DUMMYFUNCTION("""COMPUTED_VALUE"""),0.7083333333321207)</f>
        <v>0.7083333333</v>
      </c>
    </row>
    <row r="50">
      <c r="A50" s="28">
        <v>43.0</v>
      </c>
      <c r="B50" s="21">
        <f>IFERROR(__xludf.DUMMYFUNCTION("""COMPUTED_VALUE"""),45987.0)</f>
        <v>45987</v>
      </c>
      <c r="C50" s="29" t="str">
        <f>IFERROR(__xludf.DUMMYFUNCTION("""COMPUTED_VALUE"""),"Januarti")</f>
        <v>Januarti</v>
      </c>
      <c r="D50" s="29" t="str">
        <f>IFERROR(__xludf.DUMMYFUNCTION("""COMPUTED_VALUE"""),"Karate Akhwat")</f>
        <v>Karate Akhwat</v>
      </c>
      <c r="E50" s="24">
        <f>IFERROR(__xludf.DUMMYFUNCTION("""COMPUTED_VALUE"""),0.65625)</f>
        <v>0.65625</v>
      </c>
      <c r="F50" s="24">
        <f>IFERROR(__xludf.DUMMYFUNCTION("""COMPUTED_VALUE"""),0.7083333333321207)</f>
        <v>0.7083333333</v>
      </c>
    </row>
    <row r="51">
      <c r="A51" s="28">
        <v>44.0</v>
      </c>
      <c r="B51" s="21">
        <f>IFERROR(__xludf.DUMMYFUNCTION("""COMPUTED_VALUE"""),45987.0)</f>
        <v>45987</v>
      </c>
      <c r="C51" s="29" t="str">
        <f>IFERROR(__xludf.DUMMYFUNCTION("""COMPUTED_VALUE"""),"Mardiana")</f>
        <v>Mardiana</v>
      </c>
      <c r="D51" s="29" t="str">
        <f>IFERROR(__xludf.DUMMYFUNCTION("""COMPUTED_VALUE"""),"Taekwondo Akhwat")</f>
        <v>Taekwondo Akhwat</v>
      </c>
      <c r="E51" s="24">
        <f>IFERROR(__xludf.DUMMYFUNCTION("""COMPUTED_VALUE"""),0.6458333333321207)</f>
        <v>0.6458333333</v>
      </c>
      <c r="F51" s="24">
        <f>IFERROR(__xludf.DUMMYFUNCTION("""COMPUTED_VALUE"""),0.7083333333321207)</f>
        <v>0.7083333333</v>
      </c>
    </row>
    <row r="52">
      <c r="A52" s="28">
        <v>45.0</v>
      </c>
      <c r="B52" s="21">
        <f>IFERROR(__xludf.DUMMYFUNCTION("""COMPUTED_VALUE"""),45987.0)</f>
        <v>45987</v>
      </c>
      <c r="C52" s="29" t="str">
        <f>IFERROR(__xludf.DUMMYFUNCTION("""COMPUTED_VALUE"""),"Anisa Sholihat")</f>
        <v>Anisa Sholihat</v>
      </c>
      <c r="D52" s="29" t="str">
        <f>IFERROR(__xludf.DUMMYFUNCTION("""COMPUTED_VALUE"""),"Silat Akhwat")</f>
        <v>Silat Akhwat</v>
      </c>
      <c r="E52" s="24">
        <f>IFERROR(__xludf.DUMMYFUNCTION("""COMPUTED_VALUE"""),0.6666666666678793)</f>
        <v>0.6666666667</v>
      </c>
      <c r="F52" s="24">
        <f>IFERROR(__xludf.DUMMYFUNCTION("""COMPUTED_VALUE"""),0.7083333333321207)</f>
        <v>0.7083333333</v>
      </c>
    </row>
    <row r="53">
      <c r="A53" s="28">
        <v>46.0</v>
      </c>
      <c r="B53" s="21">
        <f>IFERROR(__xludf.DUMMYFUNCTION("""COMPUTED_VALUE"""),45987.0)</f>
        <v>45987</v>
      </c>
      <c r="C53" s="29" t="str">
        <f>IFERROR(__xludf.DUMMYFUNCTION("""COMPUTED_VALUE"""),"Rendy Ramadhani")</f>
        <v>Rendy Ramadhani</v>
      </c>
      <c r="D53" s="29" t="str">
        <f>IFERROR(__xludf.DUMMYFUNCTION("""COMPUTED_VALUE"""),"Silat Ikhwan")</f>
        <v>Silat Ikhwan</v>
      </c>
      <c r="E53" s="24">
        <f>IFERROR(__xludf.DUMMYFUNCTION("""COMPUTED_VALUE"""),0.6458333333321207)</f>
        <v>0.6458333333</v>
      </c>
      <c r="F53" s="24">
        <f>IFERROR(__xludf.DUMMYFUNCTION("""COMPUTED_VALUE"""),0.7083333333321207)</f>
        <v>0.7083333333</v>
      </c>
    </row>
    <row r="54">
      <c r="A54" s="28">
        <v>47.0</v>
      </c>
      <c r="B54" s="21">
        <f>IFERROR(__xludf.DUMMYFUNCTION("""COMPUTED_VALUE"""),45987.0)</f>
        <v>45987</v>
      </c>
      <c r="C54" s="29" t="str">
        <f>IFERROR(__xludf.DUMMYFUNCTION("""COMPUTED_VALUE"""),"M. Rendi Al Furqan")</f>
        <v>M. Rendi Al Furqan</v>
      </c>
      <c r="D54" s="29" t="str">
        <f>IFERROR(__xludf.DUMMYFUNCTION("""COMPUTED_VALUE"""),"Taekwondo Ikhwan")</f>
        <v>Taekwondo Ikhwan</v>
      </c>
      <c r="E54" s="24">
        <f>IFERROR(__xludf.DUMMYFUNCTION("""COMPUTED_VALUE"""),0.6458333333321207)</f>
        <v>0.6458333333</v>
      </c>
      <c r="F54" s="24">
        <f>IFERROR(__xludf.DUMMYFUNCTION("""COMPUTED_VALUE"""),0.7083333333321207)</f>
        <v>0.7083333333</v>
      </c>
    </row>
    <row r="55">
      <c r="A55" s="28">
        <v>48.0</v>
      </c>
      <c r="B55" s="21">
        <f>IFERROR(__xludf.DUMMYFUNCTION("""COMPUTED_VALUE"""),45988.0)</f>
        <v>45988</v>
      </c>
      <c r="C55" s="29" t="str">
        <f>IFERROR(__xludf.DUMMYFUNCTION("""COMPUTED_VALUE"""),"Niyah")</f>
        <v>Niyah</v>
      </c>
      <c r="D55" s="29" t="str">
        <f>IFERROR(__xludf.DUMMYFUNCTION("""COMPUTED_VALUE"""),"Pramuka Akhwat")</f>
        <v>Pramuka Akhwat</v>
      </c>
      <c r="E55" s="24">
        <f>IFERROR(__xludf.DUMMYFUNCTION("""COMPUTED_VALUE"""),0.6458333333321207)</f>
        <v>0.6458333333</v>
      </c>
      <c r="F55" s="24">
        <f>IFERROR(__xludf.DUMMYFUNCTION("""COMPUTED_VALUE"""),0.7083333333321207)</f>
        <v>0.7083333333</v>
      </c>
    </row>
    <row r="56">
      <c r="A56" s="28">
        <v>49.0</v>
      </c>
      <c r="B56" s="21">
        <f>IFERROR(__xludf.DUMMYFUNCTION("""COMPUTED_VALUE"""),45983.0)</f>
        <v>45983</v>
      </c>
      <c r="C56" s="29" t="str">
        <f>IFERROR(__xludf.DUMMYFUNCTION("""COMPUTED_VALUE"""),"APSARI TRI RAHAYU")</f>
        <v>APSARI TRI RAHAYU</v>
      </c>
      <c r="D56" s="29" t="str">
        <f>IFERROR(__xludf.DUMMYFUNCTION("""COMPUTED_VALUE"""),"Panahan Akhwat")</f>
        <v>Panahan Akhwat</v>
      </c>
      <c r="E56" s="24">
        <f>IFERROR(__xludf.DUMMYFUNCTION("""COMPUTED_VALUE"""),0.2916666666678793)</f>
        <v>0.2916666667</v>
      </c>
      <c r="F56" s="24">
        <f>IFERROR(__xludf.DUMMYFUNCTION("""COMPUTED_VALUE"""),0.375)</f>
        <v>0.375</v>
      </c>
    </row>
    <row r="57">
      <c r="A57" s="28">
        <v>50.0</v>
      </c>
      <c r="B57" s="21">
        <f>IFERROR(__xludf.DUMMYFUNCTION("""COMPUTED_VALUE"""),45983.0)</f>
        <v>45983</v>
      </c>
      <c r="C57" s="29" t="str">
        <f>IFERROR(__xludf.DUMMYFUNCTION("""COMPUTED_VALUE"""),"Ririn Rahmayanti")</f>
        <v>Ririn Rahmayanti</v>
      </c>
      <c r="D57" s="29" t="str">
        <f>IFERROR(__xludf.DUMMYFUNCTION("""COMPUTED_VALUE"""),"English Club Akhwat")</f>
        <v>English Club Akhwat</v>
      </c>
      <c r="E57" s="24">
        <f>IFERROR(__xludf.DUMMYFUNCTION("""COMPUTED_VALUE"""),0.375)</f>
        <v>0.375</v>
      </c>
      <c r="F57" s="24">
        <f>IFERROR(__xludf.DUMMYFUNCTION("""COMPUTED_VALUE"""),0.4583333333321207)</f>
        <v>0.4583333333</v>
      </c>
    </row>
    <row r="58">
      <c r="A58" s="28">
        <v>51.0</v>
      </c>
      <c r="B58" s="21">
        <f>IFERROR(__xludf.DUMMYFUNCTION("""COMPUTED_VALUE"""),45983.0)</f>
        <v>45983</v>
      </c>
      <c r="C58" s="29" t="str">
        <f>IFERROR(__xludf.DUMMYFUNCTION("""COMPUTED_VALUE"""),"APRIYANTI")</f>
        <v>APRIYANTI</v>
      </c>
      <c r="D58" s="29" t="str">
        <f>IFERROR(__xludf.DUMMYFUNCTION("""COMPUTED_VALUE"""),"Desain Poster AKhwat")</f>
        <v>Desain Poster AKhwat</v>
      </c>
      <c r="E58" s="24">
        <f>IFERROR(__xludf.DUMMYFUNCTION("""COMPUTED_VALUE"""),0.38888888889050577)</f>
        <v>0.3888888889</v>
      </c>
      <c r="F58" s="24">
        <f>IFERROR(__xludf.DUMMYFUNCTION("""COMPUTED_VALUE"""),0.47222222222262644)</f>
        <v>0.4722222222</v>
      </c>
    </row>
    <row r="59">
      <c r="A59" s="28">
        <v>52.0</v>
      </c>
      <c r="B59" s="21">
        <f>IFERROR(__xludf.DUMMYFUNCTION("""COMPUTED_VALUE"""),45971.0)</f>
        <v>45971</v>
      </c>
      <c r="C59" s="29" t="str">
        <f>IFERROR(__xludf.DUMMYFUNCTION("""COMPUTED_VALUE"""),"BUSTAMI ARIPIN, S.Pd.I")</f>
        <v>BUSTAMI ARIPIN, S.Pd.I</v>
      </c>
      <c r="D59" s="29" t="str">
        <f>IFERROR(__xludf.DUMMYFUNCTION("""COMPUTED_VALUE"""),"BAHASA ARAB")</f>
        <v>BAHASA ARAB</v>
      </c>
      <c r="E59" s="24">
        <f>IFERROR(__xludf.DUMMYFUNCTION("""COMPUTED_VALUE"""),0.7083333333321207)</f>
        <v>0.7083333333</v>
      </c>
      <c r="F59" s="24">
        <f>IFERROR(__xludf.DUMMYFUNCTION("""COMPUTED_VALUE"""),0.75)</f>
        <v>0.75</v>
      </c>
    </row>
    <row r="60">
      <c r="A60" s="28">
        <v>53.0</v>
      </c>
      <c r="B60" s="21">
        <f>IFERROR(__xludf.DUMMYFUNCTION("""COMPUTED_VALUE"""),45976.0)</f>
        <v>45976</v>
      </c>
      <c r="C60" s="29" t="str">
        <f>IFERROR(__xludf.DUMMYFUNCTION("""COMPUTED_VALUE"""),"Fikry")</f>
        <v>Fikry</v>
      </c>
      <c r="D60" s="29" t="str">
        <f>IFERROR(__xludf.DUMMYFUNCTION("""COMPUTED_VALUE"""),"Desain Poster  Ikhwan")</f>
        <v>Desain Poster  Ikhwan</v>
      </c>
      <c r="E60" s="24">
        <f>IFERROR(__xludf.DUMMYFUNCTION("""COMPUTED_VALUE"""),0.375)</f>
        <v>0.375</v>
      </c>
      <c r="F60" s="24">
        <f>IFERROR(__xludf.DUMMYFUNCTION("""COMPUTED_VALUE"""),0.4583333333321207)</f>
        <v>0.4583333333</v>
      </c>
    </row>
    <row r="61">
      <c r="A61" s="28">
        <v>54.0</v>
      </c>
      <c r="B61" s="21">
        <f>IFERROR(__xludf.DUMMYFUNCTION("""COMPUTED_VALUE"""),45983.0)</f>
        <v>45983</v>
      </c>
      <c r="C61" s="29" t="str">
        <f>IFERROR(__xludf.DUMMYFUNCTION("""COMPUTED_VALUE"""),"Fikry")</f>
        <v>Fikry</v>
      </c>
      <c r="D61" s="29" t="str">
        <f>IFERROR(__xludf.DUMMYFUNCTION("""COMPUTED_VALUE"""),"Desain Poster  Ikhwan")</f>
        <v>Desain Poster  Ikhwan</v>
      </c>
      <c r="E61" s="24">
        <f>IFERROR(__xludf.DUMMYFUNCTION("""COMPUTED_VALUE"""),0.375)</f>
        <v>0.375</v>
      </c>
      <c r="F61" s="24">
        <f>IFERROR(__xludf.DUMMYFUNCTION("""COMPUTED_VALUE"""),0.4583333333321207)</f>
        <v>0.4583333333</v>
      </c>
    </row>
    <row r="62">
      <c r="A62" s="28">
        <v>55.0</v>
      </c>
      <c r="B62" s="21">
        <f>IFERROR(__xludf.DUMMYFUNCTION("""COMPUTED_VALUE"""),45973.0)</f>
        <v>45973</v>
      </c>
      <c r="C62" s="29" t="str">
        <f>IFERROR(__xludf.DUMMYFUNCTION("""COMPUTED_VALUE"""),"Januarti")</f>
        <v>Januarti</v>
      </c>
      <c r="D62" s="29" t="str">
        <f>IFERROR(__xludf.DUMMYFUNCTION("""COMPUTED_VALUE"""),"Karate Akhwat")</f>
        <v>Karate Akhwat</v>
      </c>
      <c r="E62" s="24">
        <f>IFERROR(__xludf.DUMMYFUNCTION("""COMPUTED_VALUE"""),0.65625)</f>
        <v>0.65625</v>
      </c>
      <c r="F62" s="24">
        <f>IFERROR(__xludf.DUMMYFUNCTION("""COMPUTED_VALUE"""),0.7083333333321207)</f>
        <v>0.7083333333</v>
      </c>
    </row>
    <row r="63">
      <c r="A63" s="28">
        <v>56.0</v>
      </c>
      <c r="B63" s="21">
        <f>IFERROR(__xludf.DUMMYFUNCTION("""COMPUTED_VALUE"""),45976.0)</f>
        <v>45976</v>
      </c>
      <c r="C63" s="29" t="str">
        <f>IFERROR(__xludf.DUMMYFUNCTION("""COMPUTED_VALUE"""),"Mardiana")</f>
        <v>Mardiana</v>
      </c>
      <c r="D63" s="29" t="str">
        <f>IFERROR(__xludf.DUMMYFUNCTION("""COMPUTED_VALUE"""),"Taekwondo Akhwat")</f>
        <v>Taekwondo Akhwat</v>
      </c>
      <c r="E63" s="24">
        <f>IFERROR(__xludf.DUMMYFUNCTION("""COMPUTED_VALUE"""),0.3333333333321207)</f>
        <v>0.3333333333</v>
      </c>
      <c r="F63" s="24">
        <f>IFERROR(__xludf.DUMMYFUNCTION("""COMPUTED_VALUE"""),0.7083333333321207)</f>
        <v>0.7083333333</v>
      </c>
    </row>
    <row r="64">
      <c r="A64" s="28">
        <v>57.0</v>
      </c>
      <c r="B64" s="21">
        <f>IFERROR(__xludf.DUMMYFUNCTION("""COMPUTED_VALUE"""),45977.0)</f>
        <v>45977</v>
      </c>
      <c r="C64" s="29" t="str">
        <f>IFERROR(__xludf.DUMMYFUNCTION("""COMPUTED_VALUE"""),"Mardiana")</f>
        <v>Mardiana</v>
      </c>
      <c r="D64" s="29" t="str">
        <f>IFERROR(__xludf.DUMMYFUNCTION("""COMPUTED_VALUE"""),"Taekwondo Akhwat")</f>
        <v>Taekwondo Akhwat</v>
      </c>
      <c r="E64" s="24">
        <f>IFERROR(__xludf.DUMMYFUNCTION("""COMPUTED_VALUE"""),0.3333333333321207)</f>
        <v>0.3333333333</v>
      </c>
      <c r="F64" s="24">
        <f>IFERROR(__xludf.DUMMYFUNCTION("""COMPUTED_VALUE"""),0.7083333333321207)</f>
        <v>0.7083333333</v>
      </c>
    </row>
    <row r="65">
      <c r="A65" s="28">
        <v>58.0</v>
      </c>
      <c r="B65" s="22"/>
      <c r="C65" s="29"/>
      <c r="D65" s="29"/>
      <c r="E65" s="24"/>
      <c r="F65" s="24"/>
    </row>
    <row r="66">
      <c r="A66" s="28">
        <v>59.0</v>
      </c>
      <c r="B66" s="22"/>
      <c r="C66" s="29"/>
      <c r="D66" s="29"/>
      <c r="E66" s="24"/>
      <c r="F66" s="24"/>
    </row>
    <row r="67">
      <c r="A67" s="28">
        <v>60.0</v>
      </c>
      <c r="B67" s="22"/>
      <c r="C67" s="29"/>
      <c r="D67" s="29"/>
      <c r="E67" s="24"/>
      <c r="F67" s="24"/>
    </row>
    <row r="68">
      <c r="A68" s="28">
        <v>61.0</v>
      </c>
      <c r="B68" s="22"/>
      <c r="C68" s="29"/>
      <c r="D68" s="29"/>
      <c r="E68" s="24"/>
      <c r="F68" s="24"/>
    </row>
    <row r="69">
      <c r="A69" s="28">
        <v>62.0</v>
      </c>
      <c r="B69" s="22"/>
      <c r="C69" s="29"/>
      <c r="D69" s="29"/>
      <c r="E69" s="24"/>
      <c r="F69" s="24"/>
    </row>
    <row r="70">
      <c r="A70" s="28">
        <v>63.0</v>
      </c>
      <c r="B70" s="22"/>
      <c r="C70" s="29"/>
      <c r="D70" s="29"/>
      <c r="E70" s="24"/>
      <c r="F70" s="24"/>
    </row>
    <row r="71">
      <c r="A71" s="28">
        <v>64.0</v>
      </c>
      <c r="B71" s="22"/>
      <c r="C71" s="29"/>
      <c r="D71" s="29"/>
      <c r="E71" s="24"/>
      <c r="F71" s="24"/>
    </row>
    <row r="72">
      <c r="A72" s="28">
        <v>65.0</v>
      </c>
      <c r="B72" s="22"/>
      <c r="C72" s="29"/>
      <c r="D72" s="29"/>
      <c r="E72" s="24"/>
      <c r="F72" s="24"/>
    </row>
    <row r="73">
      <c r="A73" s="28">
        <v>66.0</v>
      </c>
      <c r="B73" s="22"/>
      <c r="C73" s="29"/>
      <c r="D73" s="29"/>
      <c r="E73" s="24"/>
      <c r="F73" s="24"/>
    </row>
    <row r="74">
      <c r="A74" s="28">
        <v>67.0</v>
      </c>
      <c r="B74" s="22"/>
      <c r="C74" s="29"/>
      <c r="D74" s="29"/>
      <c r="E74" s="24"/>
      <c r="F74" s="24"/>
    </row>
    <row r="75">
      <c r="A75" s="28">
        <v>68.0</v>
      </c>
      <c r="B75" s="22"/>
      <c r="C75" s="29"/>
      <c r="D75" s="29"/>
      <c r="E75" s="24"/>
      <c r="F75" s="24"/>
    </row>
    <row r="76">
      <c r="A76" s="28">
        <v>69.0</v>
      </c>
      <c r="B76" s="22"/>
      <c r="C76" s="29"/>
      <c r="D76" s="29"/>
      <c r="E76" s="24"/>
      <c r="F76" s="24"/>
    </row>
    <row r="77">
      <c r="A77" s="28">
        <v>70.0</v>
      </c>
      <c r="B77" s="22"/>
      <c r="C77" s="29"/>
      <c r="D77" s="29"/>
      <c r="E77" s="24"/>
      <c r="F77" s="24"/>
    </row>
    <row r="78">
      <c r="A78" s="28">
        <v>71.0</v>
      </c>
      <c r="B78" s="22"/>
      <c r="C78" s="29"/>
      <c r="D78" s="29"/>
      <c r="E78" s="24"/>
      <c r="F78" s="24"/>
    </row>
    <row r="79">
      <c r="A79" s="28">
        <v>72.0</v>
      </c>
      <c r="B79" s="22"/>
      <c r="C79" s="29"/>
      <c r="D79" s="29"/>
      <c r="E79" s="24"/>
      <c r="F79" s="24"/>
    </row>
    <row r="80">
      <c r="A80" s="28">
        <v>73.0</v>
      </c>
      <c r="B80" s="22"/>
      <c r="C80" s="29"/>
      <c r="D80" s="29"/>
      <c r="E80" s="24"/>
      <c r="F80" s="24"/>
    </row>
    <row r="81">
      <c r="A81" s="28">
        <v>74.0</v>
      </c>
      <c r="B81" s="22"/>
      <c r="C81" s="29"/>
      <c r="D81" s="29"/>
      <c r="E81" s="24"/>
      <c r="F81" s="24"/>
    </row>
    <row r="82">
      <c r="A82" s="28">
        <v>75.0</v>
      </c>
      <c r="B82" s="22"/>
      <c r="C82" s="29"/>
      <c r="D82" s="29"/>
      <c r="E82" s="24"/>
      <c r="F82" s="24"/>
    </row>
    <row r="83">
      <c r="A83" s="28">
        <v>76.0</v>
      </c>
      <c r="B83" s="22"/>
      <c r="C83" s="29"/>
      <c r="D83" s="29"/>
      <c r="E83" s="24"/>
      <c r="F83" s="24"/>
    </row>
    <row r="84">
      <c r="A84" s="28">
        <v>77.0</v>
      </c>
      <c r="B84" s="22"/>
      <c r="C84" s="29"/>
      <c r="D84" s="29"/>
      <c r="E84" s="24"/>
      <c r="F84" s="24"/>
    </row>
    <row r="85">
      <c r="A85" s="28">
        <v>78.0</v>
      </c>
      <c r="B85" s="22"/>
      <c r="C85" s="29"/>
      <c r="D85" s="29"/>
      <c r="E85" s="24"/>
      <c r="F85" s="24"/>
    </row>
    <row r="86">
      <c r="A86" s="28">
        <v>79.0</v>
      </c>
      <c r="B86" s="22"/>
      <c r="C86" s="29"/>
      <c r="D86" s="29"/>
      <c r="E86" s="24"/>
      <c r="F86" s="24"/>
    </row>
    <row r="87">
      <c r="A87" s="28">
        <v>80.0</v>
      </c>
      <c r="B87" s="22"/>
      <c r="C87" s="29"/>
      <c r="D87" s="29"/>
      <c r="E87" s="24"/>
      <c r="F87" s="24"/>
    </row>
    <row r="88">
      <c r="A88" s="28">
        <v>81.0</v>
      </c>
      <c r="B88" s="22"/>
      <c r="C88" s="29"/>
      <c r="D88" s="29"/>
      <c r="E88" s="24"/>
      <c r="F88" s="24"/>
    </row>
    <row r="89">
      <c r="A89" s="29"/>
      <c r="B89" s="29"/>
      <c r="C89" s="29"/>
      <c r="D89" s="29"/>
      <c r="E89" s="24"/>
      <c r="F89" s="24"/>
    </row>
    <row r="90">
      <c r="A90" s="29"/>
      <c r="B90" s="29"/>
      <c r="C90" s="29"/>
      <c r="D90" s="29"/>
      <c r="E90" s="24"/>
      <c r="F90" s="24"/>
    </row>
    <row r="91">
      <c r="A91" s="29"/>
      <c r="B91" s="29"/>
      <c r="C91" s="29"/>
      <c r="D91" s="29"/>
      <c r="E91" s="24"/>
      <c r="F91" s="24"/>
    </row>
    <row r="92">
      <c r="A92" s="29"/>
      <c r="B92" s="29"/>
      <c r="C92" s="29"/>
      <c r="D92" s="29"/>
      <c r="E92" s="24"/>
      <c r="F92" s="24"/>
    </row>
    <row r="93">
      <c r="A93" s="29"/>
      <c r="B93" s="29"/>
      <c r="C93" s="29"/>
      <c r="D93" s="29"/>
      <c r="E93" s="24"/>
      <c r="F93" s="24"/>
    </row>
    <row r="94">
      <c r="A94" s="29"/>
      <c r="B94" s="29"/>
      <c r="C94" s="29"/>
      <c r="D94" s="29"/>
      <c r="E94" s="24"/>
      <c r="F94" s="24"/>
    </row>
    <row r="95">
      <c r="A95" s="29"/>
      <c r="B95" s="29"/>
      <c r="C95" s="29"/>
      <c r="D95" s="29"/>
      <c r="E95" s="24"/>
      <c r="F95" s="24"/>
    </row>
    <row r="96">
      <c r="A96" s="29"/>
      <c r="B96" s="29"/>
      <c r="C96" s="29"/>
      <c r="D96" s="29"/>
      <c r="E96" s="24"/>
      <c r="F96" s="24"/>
    </row>
  </sheetData>
  <mergeCells count="8">
    <mergeCell ref="A3:G3"/>
    <mergeCell ref="A4:G4"/>
    <mergeCell ref="A6:A7"/>
    <mergeCell ref="B6:B7"/>
    <mergeCell ref="C6:C7"/>
    <mergeCell ref="D6:D7"/>
    <mergeCell ref="E6:F6"/>
    <mergeCell ref="G6:G7"/>
  </mergeCell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8.75"/>
    <col customWidth="1" min="3" max="3" width="21.25"/>
    <col customWidth="1" min="4" max="4" width="19.5"/>
    <col customWidth="1" min="5" max="5" width="12.25"/>
    <col customWidth="1" min="6" max="6" width="11.0"/>
    <col customWidth="1" min="7" max="7" width="17.75"/>
  </cols>
  <sheetData>
    <row r="1">
      <c r="A1" s="6" t="s">
        <v>49</v>
      </c>
      <c r="B1" s="7"/>
      <c r="D1" s="7"/>
      <c r="E1" s="30"/>
      <c r="F1" s="30"/>
    </row>
    <row r="2">
      <c r="B2" s="7"/>
      <c r="D2" s="7"/>
      <c r="E2" s="30"/>
      <c r="F2" s="30"/>
    </row>
    <row r="3">
      <c r="A3" s="8" t="s">
        <v>50</v>
      </c>
    </row>
    <row r="4">
      <c r="A4" s="8" t="s">
        <v>58</v>
      </c>
    </row>
    <row r="5">
      <c r="B5" s="7"/>
      <c r="D5" s="7"/>
      <c r="E5" s="30"/>
      <c r="F5" s="30"/>
    </row>
    <row r="6">
      <c r="A6" s="14" t="s">
        <v>52</v>
      </c>
      <c r="B6" s="31" t="s">
        <v>53</v>
      </c>
      <c r="C6" s="14" t="s">
        <v>2</v>
      </c>
      <c r="D6" s="14" t="s">
        <v>3</v>
      </c>
      <c r="E6" s="16" t="s">
        <v>57</v>
      </c>
      <c r="F6" s="17"/>
      <c r="G6" s="14" t="s">
        <v>56</v>
      </c>
    </row>
    <row r="7">
      <c r="A7" s="18"/>
      <c r="B7" s="18"/>
      <c r="C7" s="18"/>
      <c r="D7" s="18"/>
      <c r="E7" s="19" t="s">
        <v>54</v>
      </c>
      <c r="F7" s="19" t="s">
        <v>55</v>
      </c>
      <c r="G7" s="18"/>
    </row>
    <row r="8">
      <c r="A8" s="20">
        <f t="array" ref="A8:A64">SEQUENCE(COUNTA(C8:C100),1)</f>
        <v>1</v>
      </c>
      <c r="B8" s="21">
        <v>45966.0</v>
      </c>
      <c r="C8" s="22" t="s">
        <v>10</v>
      </c>
      <c r="D8" s="22" t="s">
        <v>11</v>
      </c>
      <c r="E8" s="24">
        <v>0.6458333333321207</v>
      </c>
      <c r="F8" s="24">
        <v>0.7083333333321207</v>
      </c>
      <c r="G8" s="23"/>
    </row>
    <row r="9">
      <c r="A9" s="20">
        <v>2.0</v>
      </c>
      <c r="B9" s="21">
        <v>45973.0</v>
      </c>
      <c r="C9" s="22" t="s">
        <v>10</v>
      </c>
      <c r="D9" s="22" t="s">
        <v>11</v>
      </c>
      <c r="E9" s="24">
        <v>0.6458333333321207</v>
      </c>
      <c r="F9" s="24">
        <v>0.7083333333321207</v>
      </c>
      <c r="G9" s="23"/>
    </row>
    <row r="10">
      <c r="A10" s="20">
        <v>3.0</v>
      </c>
      <c r="B10" s="21">
        <v>45980.0</v>
      </c>
      <c r="C10" s="22" t="s">
        <v>10</v>
      </c>
      <c r="D10" s="22" t="s">
        <v>11</v>
      </c>
      <c r="E10" s="24">
        <v>0.6458333333321207</v>
      </c>
      <c r="F10" s="24">
        <v>0.7083333333321207</v>
      </c>
      <c r="G10" s="23"/>
    </row>
    <row r="11">
      <c r="A11" s="20">
        <v>4.0</v>
      </c>
      <c r="B11" s="21">
        <v>45987.0</v>
      </c>
      <c r="C11" s="22" t="s">
        <v>10</v>
      </c>
      <c r="D11" s="22" t="s">
        <v>11</v>
      </c>
      <c r="E11" s="24">
        <v>0.6458333333321207</v>
      </c>
      <c r="F11" s="24">
        <v>0.7083333333321207</v>
      </c>
      <c r="G11" s="23"/>
    </row>
    <row r="12">
      <c r="A12" s="20">
        <v>5.0</v>
      </c>
      <c r="B12" s="21">
        <v>45966.0</v>
      </c>
      <c r="C12" s="22" t="s">
        <v>15</v>
      </c>
      <c r="D12" s="22" t="s">
        <v>16</v>
      </c>
      <c r="E12" s="24">
        <v>0.6666666666678793</v>
      </c>
      <c r="F12" s="24">
        <v>0.7083333333321207</v>
      </c>
      <c r="G12" s="23"/>
    </row>
    <row r="13">
      <c r="A13" s="20">
        <v>6.0</v>
      </c>
      <c r="B13" s="21">
        <v>45973.0</v>
      </c>
      <c r="C13" s="22" t="s">
        <v>15</v>
      </c>
      <c r="D13" s="22" t="s">
        <v>16</v>
      </c>
      <c r="E13" s="24">
        <v>0.6666666666678793</v>
      </c>
      <c r="F13" s="24">
        <v>0.7083333333321207</v>
      </c>
      <c r="G13" s="23"/>
    </row>
    <row r="14">
      <c r="A14" s="20">
        <v>7.0</v>
      </c>
      <c r="B14" s="21">
        <v>45980.0</v>
      </c>
      <c r="C14" s="22" t="s">
        <v>15</v>
      </c>
      <c r="D14" s="22" t="s">
        <v>16</v>
      </c>
      <c r="E14" s="24">
        <v>0.6666666666678793</v>
      </c>
      <c r="F14" s="24">
        <v>0.7083333333321207</v>
      </c>
      <c r="G14" s="23"/>
    </row>
    <row r="15">
      <c r="A15" s="20">
        <v>8.0</v>
      </c>
      <c r="B15" s="21">
        <v>45987.0</v>
      </c>
      <c r="C15" s="29" t="s">
        <v>15</v>
      </c>
      <c r="D15" s="22" t="s">
        <v>16</v>
      </c>
      <c r="E15" s="24">
        <v>0.6666666666678793</v>
      </c>
      <c r="F15" s="24">
        <v>0.7083333333321207</v>
      </c>
      <c r="G15" s="23"/>
    </row>
    <row r="16">
      <c r="A16" s="20">
        <v>9.0</v>
      </c>
      <c r="B16" s="21">
        <v>45976.0</v>
      </c>
      <c r="C16" s="22" t="s">
        <v>13</v>
      </c>
      <c r="D16" s="22" t="s">
        <v>14</v>
      </c>
      <c r="E16" s="24">
        <v>0.3854166666678793</v>
      </c>
      <c r="F16" s="24">
        <v>0.46875</v>
      </c>
      <c r="G16" s="23"/>
    </row>
    <row r="17">
      <c r="A17" s="20">
        <v>10.0</v>
      </c>
      <c r="B17" s="21">
        <v>45983.0</v>
      </c>
      <c r="C17" s="22" t="s">
        <v>13</v>
      </c>
      <c r="D17" s="22" t="s">
        <v>14</v>
      </c>
      <c r="E17" s="24">
        <v>0.38888888889050577</v>
      </c>
      <c r="F17" s="24">
        <v>0.47222222222262644</v>
      </c>
      <c r="G17" s="23"/>
    </row>
    <row r="18">
      <c r="A18" s="20">
        <v>11.0</v>
      </c>
      <c r="B18" s="21">
        <v>45969.0</v>
      </c>
      <c r="C18" s="22" t="s">
        <v>40</v>
      </c>
      <c r="D18" s="22" t="s">
        <v>41</v>
      </c>
      <c r="E18" s="24">
        <v>0.3125</v>
      </c>
      <c r="F18" s="24">
        <v>0.3958333333321207</v>
      </c>
      <c r="G18" s="23"/>
    </row>
    <row r="19">
      <c r="A19" s="20">
        <v>12.0</v>
      </c>
      <c r="B19" s="21">
        <v>45976.0</v>
      </c>
      <c r="C19" s="22" t="s">
        <v>40</v>
      </c>
      <c r="D19" s="22" t="s">
        <v>41</v>
      </c>
      <c r="E19" s="24">
        <v>0.2916666666678793</v>
      </c>
      <c r="F19" s="24">
        <v>0.375</v>
      </c>
      <c r="G19" s="23"/>
    </row>
    <row r="20">
      <c r="A20" s="20">
        <v>13.0</v>
      </c>
      <c r="B20" s="21">
        <v>45983.0</v>
      </c>
      <c r="C20" s="29" t="s">
        <v>40</v>
      </c>
      <c r="D20" s="22" t="s">
        <v>41</v>
      </c>
      <c r="E20" s="24">
        <v>0.2916666666678793</v>
      </c>
      <c r="F20" s="24">
        <v>0.375</v>
      </c>
      <c r="G20" s="23"/>
    </row>
    <row r="21">
      <c r="A21" s="20">
        <v>14.0</v>
      </c>
      <c r="B21" s="21">
        <v>45971.0</v>
      </c>
      <c r="C21" s="29" t="s">
        <v>21</v>
      </c>
      <c r="D21" s="22" t="s">
        <v>22</v>
      </c>
      <c r="E21" s="24">
        <v>0.7083333333321207</v>
      </c>
      <c r="F21" s="24">
        <v>0.75</v>
      </c>
      <c r="G21" s="23"/>
    </row>
    <row r="22">
      <c r="A22" s="20">
        <v>15.0</v>
      </c>
      <c r="B22" s="21">
        <v>45962.0</v>
      </c>
      <c r="C22" s="22" t="s">
        <v>7</v>
      </c>
      <c r="D22" s="22" t="s">
        <v>8</v>
      </c>
      <c r="E22" s="24">
        <v>0.3125</v>
      </c>
      <c r="F22" s="24">
        <v>0.375</v>
      </c>
      <c r="G22" s="23"/>
    </row>
    <row r="23">
      <c r="A23" s="20">
        <v>16.0</v>
      </c>
      <c r="B23" s="21">
        <v>45976.0</v>
      </c>
      <c r="C23" s="22" t="s">
        <v>7</v>
      </c>
      <c r="D23" s="22" t="s">
        <v>8</v>
      </c>
      <c r="E23" s="24">
        <v>0.3125</v>
      </c>
      <c r="F23" s="24">
        <v>0.375</v>
      </c>
      <c r="G23" s="23"/>
    </row>
    <row r="24">
      <c r="A24" s="20">
        <v>17.0</v>
      </c>
      <c r="B24" s="21">
        <v>45983.0</v>
      </c>
      <c r="C24" s="29" t="s">
        <v>7</v>
      </c>
      <c r="D24" s="22" t="s">
        <v>8</v>
      </c>
      <c r="E24" s="24">
        <v>0.3125</v>
      </c>
      <c r="F24" s="24">
        <v>0.3854166666678793</v>
      </c>
      <c r="G24" s="23"/>
    </row>
    <row r="25">
      <c r="A25" s="20">
        <v>18.0</v>
      </c>
      <c r="B25" s="21">
        <v>45976.0</v>
      </c>
      <c r="C25" s="29" t="s">
        <v>34</v>
      </c>
      <c r="D25" s="22" t="s">
        <v>35</v>
      </c>
      <c r="E25" s="24">
        <v>0.375</v>
      </c>
      <c r="F25" s="24">
        <v>0.4583333333321207</v>
      </c>
      <c r="G25" s="23"/>
    </row>
    <row r="26">
      <c r="A26" s="20">
        <v>19.0</v>
      </c>
      <c r="B26" s="21">
        <v>45983.0</v>
      </c>
      <c r="C26" s="29" t="s">
        <v>34</v>
      </c>
      <c r="D26" s="22" t="s">
        <v>35</v>
      </c>
      <c r="E26" s="24">
        <v>0.375</v>
      </c>
      <c r="F26" s="24">
        <v>0.4583333333321207</v>
      </c>
      <c r="G26" s="23"/>
    </row>
    <row r="27">
      <c r="A27" s="20">
        <v>20.0</v>
      </c>
      <c r="B27" s="21">
        <v>45966.0</v>
      </c>
      <c r="C27" s="22" t="s">
        <v>25</v>
      </c>
      <c r="D27" s="22" t="s">
        <v>26</v>
      </c>
      <c r="E27" s="24">
        <v>0.6458333333321207</v>
      </c>
      <c r="F27" s="24">
        <v>0.7083333333321207</v>
      </c>
      <c r="G27" s="23"/>
    </row>
    <row r="28">
      <c r="A28" s="20">
        <v>21.0</v>
      </c>
      <c r="B28" s="21">
        <v>45980.0</v>
      </c>
      <c r="C28" s="22" t="s">
        <v>25</v>
      </c>
      <c r="D28" s="22" t="s">
        <v>26</v>
      </c>
      <c r="E28" s="24">
        <v>0.6458333333321207</v>
      </c>
      <c r="F28" s="24">
        <v>0.7083333333321207</v>
      </c>
      <c r="G28" s="23"/>
    </row>
    <row r="29">
      <c r="A29" s="20">
        <v>22.0</v>
      </c>
      <c r="B29" s="21">
        <v>45966.0</v>
      </c>
      <c r="C29" s="22" t="s">
        <v>19</v>
      </c>
      <c r="D29" s="22" t="s">
        <v>20</v>
      </c>
      <c r="E29" s="24">
        <v>0.65625</v>
      </c>
      <c r="F29" s="24">
        <v>0.7083333333321207</v>
      </c>
      <c r="G29" s="23"/>
    </row>
    <row r="30">
      <c r="A30" s="20">
        <v>23.0</v>
      </c>
      <c r="B30" s="21">
        <v>45980.0</v>
      </c>
      <c r="C30" s="29" t="s">
        <v>19</v>
      </c>
      <c r="D30" s="22" t="s">
        <v>20</v>
      </c>
      <c r="E30" s="24">
        <v>0.65625</v>
      </c>
      <c r="F30" s="24">
        <v>0.7083333333321207</v>
      </c>
      <c r="G30" s="23"/>
    </row>
    <row r="31">
      <c r="A31" s="20">
        <v>24.0</v>
      </c>
      <c r="B31" s="21">
        <v>45987.0</v>
      </c>
      <c r="C31" s="22" t="s">
        <v>19</v>
      </c>
      <c r="D31" s="22" t="s">
        <v>20</v>
      </c>
      <c r="E31" s="24">
        <v>0.65625</v>
      </c>
      <c r="F31" s="24">
        <v>0.7083333333321207</v>
      </c>
      <c r="G31" s="23"/>
    </row>
    <row r="32">
      <c r="A32" s="20">
        <v>25.0</v>
      </c>
      <c r="B32" s="21">
        <v>45973.0</v>
      </c>
      <c r="C32" s="29" t="s">
        <v>19</v>
      </c>
      <c r="D32" s="22" t="s">
        <v>20</v>
      </c>
      <c r="E32" s="24">
        <v>0.65625</v>
      </c>
      <c r="F32" s="24">
        <v>0.7083333333321207</v>
      </c>
      <c r="G32" s="23"/>
    </row>
    <row r="33">
      <c r="A33" s="20">
        <v>26.0</v>
      </c>
      <c r="B33" s="21">
        <v>45966.0</v>
      </c>
      <c r="C33" s="29" t="s">
        <v>29</v>
      </c>
      <c r="D33" s="22" t="s">
        <v>30</v>
      </c>
      <c r="E33" s="24">
        <v>0.6458333333321207</v>
      </c>
      <c r="F33" s="24">
        <v>0.7083333333321207</v>
      </c>
      <c r="G33" s="23"/>
    </row>
    <row r="34">
      <c r="A34" s="20">
        <v>27.0</v>
      </c>
      <c r="B34" s="21">
        <v>45973.0</v>
      </c>
      <c r="C34" s="29" t="s">
        <v>29</v>
      </c>
      <c r="D34" s="22" t="s">
        <v>30</v>
      </c>
      <c r="E34" s="24">
        <v>0.6458333333321207</v>
      </c>
      <c r="F34" s="24">
        <v>0.7083333333321207</v>
      </c>
      <c r="G34" s="23"/>
    </row>
    <row r="35">
      <c r="A35" s="20">
        <v>28.0</v>
      </c>
      <c r="B35" s="21">
        <v>45976.0</v>
      </c>
      <c r="C35" s="22" t="s">
        <v>29</v>
      </c>
      <c r="D35" s="22" t="s">
        <v>30</v>
      </c>
      <c r="E35" s="24">
        <v>0.2916666666678793</v>
      </c>
      <c r="F35" s="24">
        <v>0.7083333333321207</v>
      </c>
      <c r="G35" s="23"/>
    </row>
    <row r="36">
      <c r="A36" s="20">
        <v>29.0</v>
      </c>
      <c r="B36" s="21">
        <v>45977.0</v>
      </c>
      <c r="C36" s="22" t="s">
        <v>29</v>
      </c>
      <c r="D36" s="22" t="s">
        <v>30</v>
      </c>
      <c r="E36" s="24">
        <v>0.2916666666678793</v>
      </c>
      <c r="F36" s="24">
        <v>0.7083333333321207</v>
      </c>
      <c r="G36" s="23"/>
    </row>
    <row r="37">
      <c r="A37" s="20">
        <v>30.0</v>
      </c>
      <c r="B37" s="21">
        <v>45980.0</v>
      </c>
      <c r="C37" s="22" t="s">
        <v>29</v>
      </c>
      <c r="D37" s="22" t="s">
        <v>30</v>
      </c>
      <c r="E37" s="24">
        <v>0.6458333333321207</v>
      </c>
      <c r="F37" s="24">
        <v>0.7083333333321207</v>
      </c>
      <c r="G37" s="23"/>
    </row>
    <row r="38">
      <c r="A38" s="20">
        <v>31.0</v>
      </c>
      <c r="B38" s="21">
        <v>45987.0</v>
      </c>
      <c r="C38" s="22" t="s">
        <v>29</v>
      </c>
      <c r="D38" s="22" t="s">
        <v>30</v>
      </c>
      <c r="E38" s="24">
        <v>0.6458333333321207</v>
      </c>
      <c r="F38" s="24">
        <v>0.7083333333321207</v>
      </c>
      <c r="G38" s="23"/>
    </row>
    <row r="39">
      <c r="A39" s="20">
        <v>32.0</v>
      </c>
      <c r="B39" s="21">
        <v>45966.0</v>
      </c>
      <c r="C39" s="22" t="s">
        <v>27</v>
      </c>
      <c r="D39" s="22" t="s">
        <v>28</v>
      </c>
      <c r="E39" s="24">
        <v>0.6458333333321207</v>
      </c>
      <c r="F39" s="24">
        <v>0.7083333333321207</v>
      </c>
      <c r="G39" s="23"/>
    </row>
    <row r="40">
      <c r="A40" s="20">
        <v>33.0</v>
      </c>
      <c r="B40" s="21">
        <v>45969.0</v>
      </c>
      <c r="C40" s="22" t="s">
        <v>27</v>
      </c>
      <c r="D40" s="22" t="s">
        <v>28</v>
      </c>
      <c r="E40" s="24">
        <v>0.4305555555547471</v>
      </c>
      <c r="F40" s="24">
        <v>0.4791666666678793</v>
      </c>
      <c r="G40" s="23"/>
    </row>
    <row r="41">
      <c r="A41" s="20">
        <v>34.0</v>
      </c>
      <c r="B41" s="21">
        <v>45970.0</v>
      </c>
      <c r="C41" s="29" t="s">
        <v>27</v>
      </c>
      <c r="D41" s="22" t="s">
        <v>28</v>
      </c>
      <c r="E41" s="24">
        <v>0.4305555555547471</v>
      </c>
      <c r="F41" s="24">
        <v>0.4791666666678793</v>
      </c>
      <c r="G41" s="23"/>
    </row>
    <row r="42">
      <c r="A42" s="20">
        <v>35.0</v>
      </c>
      <c r="B42" s="21">
        <v>45973.0</v>
      </c>
      <c r="C42" s="22" t="s">
        <v>27</v>
      </c>
      <c r="D42" s="22" t="s">
        <v>28</v>
      </c>
      <c r="E42" s="24">
        <v>0.6458333333321207</v>
      </c>
      <c r="F42" s="24">
        <v>0.7083333333321207</v>
      </c>
      <c r="G42" s="23"/>
    </row>
    <row r="43">
      <c r="A43" s="20">
        <v>36.0</v>
      </c>
      <c r="B43" s="21">
        <v>45980.0</v>
      </c>
      <c r="C43" s="22" t="s">
        <v>27</v>
      </c>
      <c r="D43" s="22" t="s">
        <v>28</v>
      </c>
      <c r="E43" s="24">
        <v>0.6666666666678793</v>
      </c>
      <c r="F43" s="24">
        <v>0.6979166666678793</v>
      </c>
      <c r="G43" s="23"/>
    </row>
    <row r="44">
      <c r="A44" s="20">
        <v>37.0</v>
      </c>
      <c r="B44" s="21">
        <v>45987.0</v>
      </c>
      <c r="C44" s="22" t="s">
        <v>27</v>
      </c>
      <c r="D44" s="22" t="s">
        <v>28</v>
      </c>
      <c r="E44" s="24">
        <v>0.6458333333321207</v>
      </c>
      <c r="F44" s="24">
        <v>0.7083333333321207</v>
      </c>
      <c r="G44" s="23"/>
    </row>
    <row r="45">
      <c r="A45" s="29">
        <v>38.0</v>
      </c>
      <c r="B45" s="21">
        <v>45976.0</v>
      </c>
      <c r="C45" s="29" t="s">
        <v>27</v>
      </c>
      <c r="D45" s="22" t="s">
        <v>28</v>
      </c>
      <c r="E45" s="24">
        <v>0.3333333333321207</v>
      </c>
      <c r="F45" s="24">
        <v>0.7083333333321207</v>
      </c>
      <c r="G45" s="29"/>
    </row>
    <row r="46">
      <c r="A46" s="29">
        <v>39.0</v>
      </c>
      <c r="B46" s="21">
        <v>45977.0</v>
      </c>
      <c r="C46" s="29" t="s">
        <v>27</v>
      </c>
      <c r="D46" s="22" t="s">
        <v>28</v>
      </c>
      <c r="E46" s="24">
        <v>0.3333333333321207</v>
      </c>
      <c r="F46" s="24">
        <v>0.7083333333321207</v>
      </c>
      <c r="G46" s="29"/>
    </row>
    <row r="47">
      <c r="A47" s="29">
        <v>40.0</v>
      </c>
      <c r="B47" s="21">
        <v>45976.0</v>
      </c>
      <c r="C47" s="29" t="s">
        <v>44</v>
      </c>
      <c r="D47" s="22" t="s">
        <v>45</v>
      </c>
      <c r="E47" s="24">
        <v>0.2916666666678793</v>
      </c>
      <c r="F47" s="24">
        <v>0.375</v>
      </c>
      <c r="G47" s="29"/>
    </row>
    <row r="48">
      <c r="A48" s="29">
        <v>41.0</v>
      </c>
      <c r="B48" s="21">
        <v>45983.0</v>
      </c>
      <c r="C48" s="29" t="s">
        <v>44</v>
      </c>
      <c r="D48" s="22" t="s">
        <v>45</v>
      </c>
      <c r="E48" s="24">
        <v>0.2916666666678793</v>
      </c>
      <c r="F48" s="24">
        <v>0.375</v>
      </c>
      <c r="G48" s="29"/>
    </row>
    <row r="49">
      <c r="A49" s="29">
        <v>42.0</v>
      </c>
      <c r="B49" s="21">
        <v>45967.0</v>
      </c>
      <c r="C49" s="29" t="s">
        <v>31</v>
      </c>
      <c r="D49" s="22" t="s">
        <v>24</v>
      </c>
      <c r="E49" s="24">
        <v>0.6458333333321207</v>
      </c>
      <c r="F49" s="24">
        <v>0.7083333333321207</v>
      </c>
      <c r="G49" s="29"/>
    </row>
    <row r="50">
      <c r="A50" s="29">
        <v>43.0</v>
      </c>
      <c r="B50" s="21">
        <v>45974.0</v>
      </c>
      <c r="C50" s="22" t="s">
        <v>31</v>
      </c>
      <c r="D50" s="22" t="s">
        <v>24</v>
      </c>
      <c r="E50" s="24">
        <v>0.625</v>
      </c>
      <c r="F50" s="24">
        <v>0.7083333333321207</v>
      </c>
      <c r="G50" s="29"/>
    </row>
    <row r="51">
      <c r="A51" s="29">
        <v>44.0</v>
      </c>
      <c r="B51" s="21">
        <v>45981.0</v>
      </c>
      <c r="C51" s="29" t="s">
        <v>31</v>
      </c>
      <c r="D51" s="22" t="s">
        <v>24</v>
      </c>
      <c r="E51" s="24">
        <v>0.625</v>
      </c>
      <c r="F51" s="24">
        <v>0.7083333333321207</v>
      </c>
      <c r="G51" s="29"/>
    </row>
    <row r="52">
      <c r="A52" s="29">
        <v>45.0</v>
      </c>
      <c r="B52" s="21">
        <v>45988.0</v>
      </c>
      <c r="C52" s="22" t="s">
        <v>31</v>
      </c>
      <c r="D52" s="22" t="s">
        <v>24</v>
      </c>
      <c r="E52" s="24">
        <v>0.6458333333321207</v>
      </c>
      <c r="F52" s="24">
        <v>0.7083333333321207</v>
      </c>
      <c r="G52" s="29"/>
    </row>
    <row r="53">
      <c r="A53" s="29">
        <v>46.0</v>
      </c>
      <c r="B53" s="21">
        <v>45962.0</v>
      </c>
      <c r="C53" s="22" t="s">
        <v>32</v>
      </c>
      <c r="D53" s="22" t="s">
        <v>33</v>
      </c>
      <c r="E53" s="24">
        <v>0.375</v>
      </c>
      <c r="F53" s="24">
        <v>0.4583333333321207</v>
      </c>
      <c r="G53" s="29"/>
    </row>
    <row r="54">
      <c r="A54" s="29">
        <v>47.0</v>
      </c>
      <c r="B54" s="21">
        <v>45983.0</v>
      </c>
      <c r="C54" s="22" t="s">
        <v>32</v>
      </c>
      <c r="D54" s="22" t="s">
        <v>33</v>
      </c>
      <c r="E54" s="24">
        <v>0.375</v>
      </c>
      <c r="F54" s="24">
        <v>0.4583333333321207</v>
      </c>
      <c r="G54" s="29"/>
    </row>
    <row r="55">
      <c r="A55" s="29">
        <v>48.0</v>
      </c>
      <c r="B55" s="21">
        <v>45966.0</v>
      </c>
      <c r="C55" s="29" t="s">
        <v>46</v>
      </c>
      <c r="D55" s="22" t="s">
        <v>26</v>
      </c>
      <c r="E55" s="24">
        <v>0.6458333333321207</v>
      </c>
      <c r="F55" s="24">
        <v>0.7083333333321207</v>
      </c>
      <c r="G55" s="29"/>
    </row>
    <row r="56">
      <c r="A56" s="29">
        <v>49.0</v>
      </c>
      <c r="B56" s="21">
        <v>45980.0</v>
      </c>
      <c r="C56" s="29" t="s">
        <v>46</v>
      </c>
      <c r="D56" s="22" t="s">
        <v>26</v>
      </c>
      <c r="E56" s="24">
        <v>0.6458333333321207</v>
      </c>
      <c r="F56" s="24">
        <v>0.7083333333321207</v>
      </c>
      <c r="G56" s="29"/>
    </row>
    <row r="57">
      <c r="A57" s="29">
        <v>50.0</v>
      </c>
      <c r="B57" s="21">
        <v>45973.0</v>
      </c>
      <c r="C57" s="22" t="s">
        <v>46</v>
      </c>
      <c r="D57" s="22" t="s">
        <v>26</v>
      </c>
      <c r="E57" s="24">
        <v>0.6458333333321207</v>
      </c>
      <c r="F57" s="24">
        <v>0.7083333333321207</v>
      </c>
      <c r="G57" s="29"/>
    </row>
    <row r="58">
      <c r="A58" s="29">
        <v>51.0</v>
      </c>
      <c r="B58" s="21">
        <v>45987.0</v>
      </c>
      <c r="C58" s="22" t="s">
        <v>46</v>
      </c>
      <c r="D58" s="22" t="s">
        <v>26</v>
      </c>
      <c r="E58" s="24">
        <v>0.6458333333321207</v>
      </c>
      <c r="F58" s="24">
        <v>0.7083333333321207</v>
      </c>
      <c r="G58" s="29"/>
    </row>
    <row r="59">
      <c r="A59" s="29">
        <v>52.0</v>
      </c>
      <c r="B59" s="21">
        <v>45969.0</v>
      </c>
      <c r="C59" s="22" t="s">
        <v>36</v>
      </c>
      <c r="D59" s="22" t="s">
        <v>37</v>
      </c>
      <c r="E59" s="24">
        <v>0.3333333333321207</v>
      </c>
      <c r="F59" s="24">
        <v>0.4166666666678793</v>
      </c>
      <c r="G59" s="29"/>
    </row>
    <row r="60">
      <c r="A60" s="29">
        <v>53.0</v>
      </c>
      <c r="B60" s="21">
        <v>45969.0</v>
      </c>
      <c r="C60" s="22" t="s">
        <v>38</v>
      </c>
      <c r="D60" s="22" t="s">
        <v>39</v>
      </c>
      <c r="E60" s="24">
        <v>0.375</v>
      </c>
      <c r="F60" s="24">
        <v>0.4583333333321207</v>
      </c>
      <c r="G60" s="29"/>
    </row>
    <row r="61">
      <c r="A61" s="29">
        <v>54.0</v>
      </c>
      <c r="B61" s="21">
        <v>45976.0</v>
      </c>
      <c r="C61" s="22" t="s">
        <v>38</v>
      </c>
      <c r="D61" s="22" t="s">
        <v>39</v>
      </c>
      <c r="E61" s="24">
        <v>0.375</v>
      </c>
      <c r="F61" s="24">
        <v>0.4583333333321207</v>
      </c>
      <c r="G61" s="29"/>
    </row>
    <row r="62">
      <c r="A62" s="29">
        <v>55.0</v>
      </c>
      <c r="B62" s="21">
        <v>45983.0</v>
      </c>
      <c r="C62" s="22" t="s">
        <v>38</v>
      </c>
      <c r="D62" s="22" t="s">
        <v>39</v>
      </c>
      <c r="E62" s="24">
        <v>0.375</v>
      </c>
      <c r="F62" s="24">
        <v>0.4583333333321207</v>
      </c>
      <c r="G62" s="29"/>
    </row>
    <row r="63">
      <c r="A63" s="29">
        <v>56.0</v>
      </c>
      <c r="B63" s="21">
        <v>45969.0</v>
      </c>
      <c r="C63" s="29" t="s">
        <v>17</v>
      </c>
      <c r="D63" s="22" t="s">
        <v>18</v>
      </c>
      <c r="E63" s="24">
        <v>0.29861111110949423</v>
      </c>
      <c r="F63" s="24">
        <v>0.3819444444452529</v>
      </c>
      <c r="G63" s="29"/>
    </row>
    <row r="64">
      <c r="A64" s="29">
        <v>57.0</v>
      </c>
      <c r="B64" s="21">
        <v>45976.0</v>
      </c>
      <c r="C64" s="22" t="s">
        <v>17</v>
      </c>
      <c r="D64" s="22" t="s">
        <v>18</v>
      </c>
      <c r="E64" s="24">
        <v>0.29861111110949423</v>
      </c>
      <c r="F64" s="24">
        <v>0.3819444444452529</v>
      </c>
      <c r="G64" s="29"/>
    </row>
    <row r="65">
      <c r="B65" s="7"/>
      <c r="D65" s="7"/>
      <c r="E65" s="30"/>
      <c r="F65" s="30"/>
    </row>
    <row r="66">
      <c r="B66" s="7"/>
      <c r="D66" s="7"/>
      <c r="E66" s="30"/>
      <c r="F66" s="30"/>
    </row>
    <row r="67">
      <c r="B67" s="7"/>
      <c r="D67" s="7"/>
      <c r="E67" s="30"/>
      <c r="F67" s="30"/>
    </row>
    <row r="68">
      <c r="B68" s="7"/>
      <c r="D68" s="7"/>
      <c r="E68" s="30"/>
      <c r="F68" s="30"/>
    </row>
    <row r="69">
      <c r="B69" s="7"/>
      <c r="D69" s="7"/>
      <c r="E69" s="30"/>
      <c r="F69" s="30"/>
    </row>
    <row r="70">
      <c r="B70" s="7"/>
      <c r="D70" s="7"/>
      <c r="E70" s="30"/>
      <c r="F70" s="30"/>
    </row>
    <row r="71">
      <c r="B71" s="7"/>
      <c r="D71" s="7"/>
      <c r="E71" s="30"/>
      <c r="F71" s="30"/>
    </row>
    <row r="72">
      <c r="B72" s="7"/>
      <c r="D72" s="7"/>
      <c r="E72" s="30"/>
      <c r="F72" s="30"/>
    </row>
    <row r="73">
      <c r="B73" s="7"/>
      <c r="D73" s="7"/>
      <c r="E73" s="30"/>
      <c r="F73" s="30"/>
    </row>
    <row r="74">
      <c r="B74" s="7"/>
      <c r="D74" s="7"/>
      <c r="E74" s="30"/>
      <c r="F74" s="30"/>
    </row>
    <row r="75">
      <c r="B75" s="7"/>
      <c r="D75" s="7"/>
      <c r="E75" s="30"/>
      <c r="F75" s="30"/>
    </row>
    <row r="76">
      <c r="B76" s="7"/>
      <c r="D76" s="7"/>
      <c r="E76" s="30"/>
      <c r="F76" s="30"/>
    </row>
    <row r="77">
      <c r="B77" s="7"/>
      <c r="D77" s="7"/>
      <c r="E77" s="30"/>
      <c r="F77" s="30"/>
    </row>
    <row r="78">
      <c r="B78" s="7"/>
      <c r="D78" s="7"/>
      <c r="E78" s="30"/>
      <c r="F78" s="30"/>
    </row>
    <row r="79">
      <c r="B79" s="7"/>
      <c r="D79" s="7"/>
      <c r="E79" s="30"/>
      <c r="F79" s="30"/>
    </row>
    <row r="80">
      <c r="B80" s="7"/>
      <c r="D80" s="7"/>
      <c r="E80" s="30"/>
      <c r="F80" s="30"/>
    </row>
    <row r="81">
      <c r="B81" s="7"/>
      <c r="D81" s="7"/>
      <c r="E81" s="30"/>
      <c r="F81" s="30"/>
    </row>
    <row r="82">
      <c r="B82" s="7"/>
      <c r="D82" s="7"/>
      <c r="E82" s="30"/>
      <c r="F82" s="30"/>
    </row>
    <row r="83">
      <c r="B83" s="7"/>
      <c r="D83" s="7"/>
      <c r="E83" s="30"/>
      <c r="F83" s="30"/>
    </row>
    <row r="84">
      <c r="B84" s="7"/>
      <c r="D84" s="7"/>
      <c r="E84" s="30"/>
      <c r="F84" s="30"/>
    </row>
    <row r="85">
      <c r="B85" s="7"/>
      <c r="D85" s="7"/>
      <c r="E85" s="30"/>
      <c r="F85" s="30"/>
    </row>
    <row r="86">
      <c r="B86" s="7"/>
      <c r="D86" s="7"/>
      <c r="E86" s="30"/>
      <c r="F86" s="30"/>
    </row>
    <row r="87">
      <c r="B87" s="7"/>
      <c r="D87" s="7"/>
      <c r="E87" s="30"/>
      <c r="F87" s="30"/>
    </row>
    <row r="88">
      <c r="B88" s="7"/>
      <c r="D88" s="7"/>
      <c r="E88" s="30"/>
      <c r="F88" s="30"/>
    </row>
    <row r="89">
      <c r="B89" s="7"/>
      <c r="D89" s="7"/>
      <c r="E89" s="30"/>
      <c r="F89" s="30"/>
    </row>
    <row r="90">
      <c r="B90" s="7"/>
      <c r="D90" s="7"/>
      <c r="E90" s="30"/>
      <c r="F90" s="30"/>
    </row>
    <row r="91">
      <c r="B91" s="7"/>
      <c r="D91" s="7"/>
      <c r="E91" s="30"/>
      <c r="F91" s="30"/>
    </row>
    <row r="92">
      <c r="B92" s="7"/>
      <c r="D92" s="7"/>
      <c r="E92" s="30"/>
      <c r="F92" s="30"/>
    </row>
    <row r="93">
      <c r="B93" s="7"/>
      <c r="D93" s="7"/>
      <c r="E93" s="30"/>
      <c r="F93" s="30"/>
    </row>
    <row r="94">
      <c r="B94" s="7"/>
      <c r="D94" s="7"/>
      <c r="E94" s="30"/>
      <c r="F94" s="30"/>
    </row>
    <row r="95">
      <c r="B95" s="7"/>
      <c r="D95" s="7"/>
      <c r="E95" s="30"/>
      <c r="F95" s="30"/>
    </row>
    <row r="96">
      <c r="B96" s="7"/>
      <c r="D96" s="7"/>
      <c r="E96" s="30"/>
      <c r="F96" s="30"/>
    </row>
    <row r="97">
      <c r="B97" s="7"/>
      <c r="D97" s="7"/>
      <c r="E97" s="30"/>
      <c r="F97" s="30"/>
    </row>
    <row r="98">
      <c r="B98" s="7"/>
      <c r="D98" s="7"/>
      <c r="E98" s="30"/>
      <c r="F98" s="30"/>
    </row>
    <row r="99">
      <c r="B99" s="7"/>
      <c r="D99" s="7"/>
      <c r="E99" s="30"/>
      <c r="F99" s="30"/>
    </row>
    <row r="100">
      <c r="B100" s="7"/>
      <c r="D100" s="7"/>
      <c r="E100" s="30"/>
      <c r="F100" s="30"/>
    </row>
    <row r="101">
      <c r="B101" s="7"/>
      <c r="D101" s="7"/>
      <c r="E101" s="30"/>
      <c r="F101" s="30"/>
    </row>
    <row r="102">
      <c r="B102" s="7"/>
      <c r="D102" s="7"/>
      <c r="E102" s="30"/>
      <c r="F102" s="30"/>
    </row>
    <row r="103">
      <c r="B103" s="7"/>
      <c r="D103" s="7"/>
      <c r="E103" s="30"/>
      <c r="F103" s="30"/>
    </row>
    <row r="104">
      <c r="B104" s="7"/>
      <c r="D104" s="7"/>
      <c r="E104" s="30"/>
      <c r="F104" s="30"/>
    </row>
    <row r="105">
      <c r="B105" s="7"/>
      <c r="D105" s="7"/>
      <c r="E105" s="30"/>
      <c r="F105" s="30"/>
    </row>
    <row r="106">
      <c r="B106" s="7"/>
      <c r="D106" s="7"/>
      <c r="E106" s="30"/>
      <c r="F106" s="30"/>
    </row>
    <row r="107">
      <c r="B107" s="7"/>
      <c r="D107" s="7"/>
      <c r="E107" s="30"/>
      <c r="F107" s="30"/>
    </row>
    <row r="108">
      <c r="B108" s="7"/>
      <c r="D108" s="7"/>
      <c r="E108" s="30"/>
      <c r="F108" s="30"/>
    </row>
    <row r="109">
      <c r="B109" s="7"/>
      <c r="D109" s="7"/>
      <c r="E109" s="30"/>
      <c r="F109" s="30"/>
    </row>
    <row r="110">
      <c r="B110" s="7"/>
      <c r="D110" s="7"/>
      <c r="E110" s="30"/>
      <c r="F110" s="30"/>
    </row>
    <row r="111">
      <c r="B111" s="7"/>
      <c r="D111" s="7"/>
      <c r="E111" s="30"/>
      <c r="F111" s="30"/>
    </row>
    <row r="112">
      <c r="B112" s="7"/>
      <c r="D112" s="7"/>
      <c r="E112" s="30"/>
      <c r="F112" s="30"/>
    </row>
    <row r="113">
      <c r="B113" s="7"/>
      <c r="D113" s="7"/>
      <c r="E113" s="30"/>
      <c r="F113" s="30"/>
    </row>
    <row r="114">
      <c r="B114" s="7"/>
      <c r="D114" s="7"/>
      <c r="E114" s="30"/>
      <c r="F114" s="30"/>
    </row>
    <row r="115">
      <c r="B115" s="7"/>
      <c r="D115" s="7"/>
      <c r="E115" s="30"/>
      <c r="F115" s="30"/>
    </row>
    <row r="116">
      <c r="B116" s="7"/>
      <c r="D116" s="7"/>
      <c r="E116" s="30"/>
      <c r="F116" s="30"/>
    </row>
    <row r="117">
      <c r="B117" s="7"/>
      <c r="D117" s="7"/>
      <c r="E117" s="30"/>
      <c r="F117" s="30"/>
    </row>
    <row r="118">
      <c r="B118" s="7"/>
      <c r="D118" s="7"/>
      <c r="E118" s="30"/>
      <c r="F118" s="30"/>
    </row>
    <row r="119">
      <c r="B119" s="7"/>
      <c r="D119" s="7"/>
      <c r="E119" s="30"/>
      <c r="F119" s="30"/>
    </row>
    <row r="120">
      <c r="B120" s="7"/>
      <c r="D120" s="7"/>
      <c r="E120" s="30"/>
      <c r="F120" s="30"/>
    </row>
    <row r="121">
      <c r="B121" s="7"/>
      <c r="D121" s="7"/>
      <c r="E121" s="30"/>
      <c r="F121" s="30"/>
    </row>
    <row r="122">
      <c r="B122" s="7"/>
      <c r="D122" s="7"/>
      <c r="E122" s="30"/>
      <c r="F122" s="30"/>
    </row>
    <row r="123">
      <c r="B123" s="7"/>
      <c r="D123" s="7"/>
      <c r="E123" s="30"/>
      <c r="F123" s="30"/>
    </row>
    <row r="124">
      <c r="B124" s="7"/>
      <c r="D124" s="7"/>
      <c r="E124" s="30"/>
      <c r="F124" s="30"/>
    </row>
    <row r="125">
      <c r="B125" s="7"/>
      <c r="D125" s="7"/>
      <c r="E125" s="30"/>
      <c r="F125" s="30"/>
    </row>
    <row r="126">
      <c r="B126" s="7"/>
      <c r="D126" s="7"/>
      <c r="E126" s="30"/>
      <c r="F126" s="30"/>
    </row>
    <row r="127">
      <c r="B127" s="7"/>
      <c r="D127" s="7"/>
      <c r="E127" s="30"/>
      <c r="F127" s="30"/>
    </row>
    <row r="128">
      <c r="B128" s="7"/>
      <c r="D128" s="7"/>
      <c r="E128" s="30"/>
      <c r="F128" s="30"/>
    </row>
    <row r="129">
      <c r="B129" s="7"/>
      <c r="D129" s="7"/>
      <c r="E129" s="30"/>
      <c r="F129" s="30"/>
    </row>
    <row r="130">
      <c r="B130" s="7"/>
      <c r="D130" s="7"/>
      <c r="E130" s="30"/>
      <c r="F130" s="30"/>
    </row>
    <row r="131">
      <c r="B131" s="7"/>
      <c r="D131" s="7"/>
      <c r="E131" s="30"/>
      <c r="F131" s="30"/>
    </row>
    <row r="132">
      <c r="B132" s="7"/>
      <c r="D132" s="7"/>
      <c r="E132" s="30"/>
      <c r="F132" s="30"/>
    </row>
    <row r="133">
      <c r="B133" s="7"/>
      <c r="D133" s="7"/>
      <c r="E133" s="30"/>
      <c r="F133" s="30"/>
    </row>
    <row r="134">
      <c r="B134" s="7"/>
      <c r="D134" s="7"/>
      <c r="E134" s="30"/>
      <c r="F134" s="30"/>
    </row>
    <row r="135">
      <c r="B135" s="7"/>
      <c r="D135" s="7"/>
      <c r="E135" s="30"/>
      <c r="F135" s="30"/>
    </row>
    <row r="136">
      <c r="B136" s="7"/>
      <c r="D136" s="7"/>
      <c r="E136" s="30"/>
      <c r="F136" s="30"/>
    </row>
    <row r="137">
      <c r="B137" s="7"/>
      <c r="D137" s="7"/>
      <c r="E137" s="30"/>
      <c r="F137" s="30"/>
    </row>
    <row r="138">
      <c r="B138" s="7"/>
      <c r="D138" s="7"/>
      <c r="E138" s="30"/>
      <c r="F138" s="30"/>
    </row>
    <row r="139">
      <c r="B139" s="7"/>
      <c r="D139" s="7"/>
      <c r="E139" s="30"/>
      <c r="F139" s="30"/>
    </row>
    <row r="140">
      <c r="B140" s="7"/>
      <c r="D140" s="7"/>
      <c r="E140" s="30"/>
      <c r="F140" s="30"/>
    </row>
    <row r="141">
      <c r="B141" s="7"/>
      <c r="D141" s="7"/>
      <c r="E141" s="30"/>
      <c r="F141" s="30"/>
    </row>
    <row r="142">
      <c r="B142" s="7"/>
      <c r="D142" s="7"/>
      <c r="E142" s="30"/>
      <c r="F142" s="30"/>
    </row>
    <row r="143">
      <c r="B143" s="7"/>
      <c r="D143" s="7"/>
      <c r="E143" s="30"/>
      <c r="F143" s="30"/>
    </row>
    <row r="144">
      <c r="B144" s="7"/>
      <c r="D144" s="7"/>
      <c r="E144" s="30"/>
      <c r="F144" s="30"/>
    </row>
    <row r="145">
      <c r="B145" s="7"/>
      <c r="D145" s="7"/>
      <c r="E145" s="30"/>
      <c r="F145" s="30"/>
    </row>
    <row r="146">
      <c r="B146" s="7"/>
      <c r="D146" s="7"/>
      <c r="E146" s="30"/>
      <c r="F146" s="30"/>
    </row>
    <row r="147">
      <c r="B147" s="7"/>
      <c r="D147" s="7"/>
      <c r="E147" s="30"/>
      <c r="F147" s="30"/>
    </row>
    <row r="148">
      <c r="B148" s="7"/>
      <c r="D148" s="7"/>
      <c r="E148" s="30"/>
      <c r="F148" s="30"/>
    </row>
    <row r="149">
      <c r="B149" s="7"/>
      <c r="D149" s="7"/>
      <c r="E149" s="30"/>
      <c r="F149" s="30"/>
    </row>
    <row r="150">
      <c r="B150" s="7"/>
      <c r="D150" s="7"/>
      <c r="E150" s="30"/>
      <c r="F150" s="30"/>
    </row>
    <row r="151">
      <c r="B151" s="7"/>
      <c r="D151" s="7"/>
      <c r="E151" s="30"/>
      <c r="F151" s="30"/>
    </row>
    <row r="152">
      <c r="B152" s="7"/>
      <c r="D152" s="7"/>
      <c r="E152" s="30"/>
      <c r="F152" s="30"/>
    </row>
    <row r="153">
      <c r="B153" s="7"/>
      <c r="D153" s="7"/>
      <c r="E153" s="30"/>
      <c r="F153" s="30"/>
    </row>
    <row r="154">
      <c r="B154" s="7"/>
      <c r="D154" s="7"/>
      <c r="E154" s="30"/>
      <c r="F154" s="30"/>
    </row>
    <row r="155">
      <c r="B155" s="7"/>
      <c r="D155" s="7"/>
      <c r="E155" s="30"/>
      <c r="F155" s="30"/>
    </row>
    <row r="156">
      <c r="B156" s="7"/>
      <c r="D156" s="7"/>
      <c r="E156" s="30"/>
      <c r="F156" s="30"/>
    </row>
    <row r="157">
      <c r="B157" s="7"/>
      <c r="D157" s="7"/>
      <c r="E157" s="30"/>
      <c r="F157" s="30"/>
    </row>
    <row r="158">
      <c r="B158" s="7"/>
      <c r="D158" s="7"/>
      <c r="E158" s="30"/>
      <c r="F158" s="30"/>
    </row>
    <row r="159">
      <c r="B159" s="7"/>
      <c r="D159" s="7"/>
      <c r="E159" s="30"/>
      <c r="F159" s="30"/>
    </row>
    <row r="160">
      <c r="B160" s="7"/>
      <c r="D160" s="7"/>
      <c r="E160" s="30"/>
      <c r="F160" s="30"/>
    </row>
    <row r="161">
      <c r="B161" s="7"/>
      <c r="D161" s="7"/>
      <c r="E161" s="30"/>
      <c r="F161" s="30"/>
    </row>
    <row r="162">
      <c r="B162" s="7"/>
      <c r="D162" s="7"/>
      <c r="E162" s="30"/>
      <c r="F162" s="30"/>
    </row>
    <row r="163">
      <c r="B163" s="7"/>
      <c r="D163" s="7"/>
      <c r="E163" s="30"/>
      <c r="F163" s="30"/>
    </row>
    <row r="164">
      <c r="B164" s="7"/>
      <c r="D164" s="7"/>
      <c r="E164" s="30"/>
      <c r="F164" s="30"/>
    </row>
    <row r="165">
      <c r="B165" s="7"/>
      <c r="D165" s="7"/>
      <c r="E165" s="30"/>
      <c r="F165" s="30"/>
    </row>
    <row r="166">
      <c r="B166" s="7"/>
      <c r="D166" s="7"/>
      <c r="E166" s="30"/>
      <c r="F166" s="30"/>
    </row>
    <row r="167">
      <c r="B167" s="7"/>
      <c r="D167" s="7"/>
      <c r="E167" s="30"/>
      <c r="F167" s="30"/>
    </row>
    <row r="168">
      <c r="B168" s="7"/>
      <c r="D168" s="7"/>
      <c r="E168" s="30"/>
      <c r="F168" s="30"/>
    </row>
    <row r="169">
      <c r="B169" s="7"/>
      <c r="D169" s="7"/>
      <c r="E169" s="30"/>
      <c r="F169" s="30"/>
    </row>
    <row r="170">
      <c r="B170" s="7"/>
      <c r="D170" s="7"/>
      <c r="E170" s="30"/>
      <c r="F170" s="30"/>
    </row>
    <row r="171">
      <c r="B171" s="7"/>
      <c r="D171" s="7"/>
      <c r="E171" s="30"/>
      <c r="F171" s="30"/>
    </row>
    <row r="172">
      <c r="B172" s="7"/>
      <c r="D172" s="7"/>
      <c r="E172" s="30"/>
      <c r="F172" s="30"/>
    </row>
    <row r="173">
      <c r="B173" s="7"/>
      <c r="D173" s="7"/>
      <c r="E173" s="30"/>
      <c r="F173" s="30"/>
    </row>
    <row r="174">
      <c r="B174" s="7"/>
      <c r="D174" s="7"/>
      <c r="E174" s="30"/>
      <c r="F174" s="30"/>
    </row>
    <row r="175">
      <c r="B175" s="7"/>
      <c r="D175" s="7"/>
      <c r="E175" s="30"/>
      <c r="F175" s="30"/>
    </row>
    <row r="176">
      <c r="B176" s="7"/>
      <c r="D176" s="7"/>
      <c r="E176" s="30"/>
      <c r="F176" s="30"/>
    </row>
    <row r="177">
      <c r="B177" s="7"/>
      <c r="D177" s="7"/>
      <c r="E177" s="30"/>
      <c r="F177" s="30"/>
    </row>
    <row r="178">
      <c r="B178" s="7"/>
      <c r="D178" s="7"/>
      <c r="E178" s="30"/>
      <c r="F178" s="30"/>
    </row>
    <row r="179">
      <c r="B179" s="7"/>
      <c r="D179" s="7"/>
      <c r="E179" s="30"/>
      <c r="F179" s="30"/>
    </row>
    <row r="180">
      <c r="B180" s="7"/>
      <c r="D180" s="7"/>
      <c r="E180" s="30"/>
      <c r="F180" s="30"/>
    </row>
    <row r="181">
      <c r="B181" s="7"/>
      <c r="D181" s="7"/>
      <c r="E181" s="30"/>
      <c r="F181" s="30"/>
    </row>
    <row r="182">
      <c r="B182" s="7"/>
      <c r="D182" s="7"/>
      <c r="E182" s="30"/>
      <c r="F182" s="30"/>
    </row>
    <row r="183">
      <c r="B183" s="7"/>
      <c r="D183" s="7"/>
      <c r="E183" s="30"/>
      <c r="F183" s="30"/>
    </row>
    <row r="184">
      <c r="B184" s="7"/>
      <c r="D184" s="7"/>
      <c r="E184" s="30"/>
      <c r="F184" s="30"/>
    </row>
    <row r="185">
      <c r="B185" s="7"/>
      <c r="D185" s="7"/>
      <c r="E185" s="30"/>
      <c r="F185" s="30"/>
    </row>
    <row r="186">
      <c r="B186" s="7"/>
      <c r="D186" s="7"/>
      <c r="E186" s="30"/>
      <c r="F186" s="30"/>
    </row>
    <row r="187">
      <c r="B187" s="7"/>
      <c r="D187" s="7"/>
      <c r="E187" s="30"/>
      <c r="F187" s="30"/>
    </row>
    <row r="188">
      <c r="B188" s="7"/>
      <c r="D188" s="7"/>
      <c r="E188" s="30"/>
      <c r="F188" s="30"/>
    </row>
    <row r="189">
      <c r="B189" s="7"/>
      <c r="D189" s="7"/>
      <c r="E189" s="30"/>
      <c r="F189" s="30"/>
    </row>
    <row r="190">
      <c r="B190" s="7"/>
      <c r="D190" s="7"/>
      <c r="E190" s="30"/>
      <c r="F190" s="30"/>
    </row>
    <row r="191">
      <c r="B191" s="7"/>
      <c r="D191" s="7"/>
      <c r="E191" s="30"/>
      <c r="F191" s="30"/>
    </row>
    <row r="192">
      <c r="B192" s="7"/>
      <c r="D192" s="7"/>
      <c r="E192" s="30"/>
      <c r="F192" s="30"/>
    </row>
    <row r="193">
      <c r="B193" s="7"/>
      <c r="D193" s="7"/>
      <c r="E193" s="30"/>
      <c r="F193" s="30"/>
    </row>
    <row r="194">
      <c r="B194" s="7"/>
      <c r="D194" s="7"/>
      <c r="E194" s="30"/>
      <c r="F194" s="30"/>
    </row>
    <row r="195">
      <c r="B195" s="7"/>
      <c r="D195" s="7"/>
      <c r="E195" s="30"/>
      <c r="F195" s="30"/>
    </row>
    <row r="196">
      <c r="B196" s="7"/>
      <c r="D196" s="7"/>
      <c r="E196" s="30"/>
      <c r="F196" s="30"/>
    </row>
    <row r="197">
      <c r="B197" s="7"/>
      <c r="D197" s="7"/>
      <c r="E197" s="30"/>
      <c r="F197" s="30"/>
    </row>
    <row r="198">
      <c r="B198" s="7"/>
      <c r="D198" s="7"/>
      <c r="E198" s="30"/>
      <c r="F198" s="30"/>
    </row>
    <row r="199">
      <c r="B199" s="7"/>
      <c r="D199" s="7"/>
      <c r="E199" s="30"/>
      <c r="F199" s="30"/>
    </row>
    <row r="200">
      <c r="B200" s="7"/>
      <c r="D200" s="7"/>
      <c r="E200" s="30"/>
      <c r="F200" s="30"/>
    </row>
    <row r="201">
      <c r="B201" s="7"/>
      <c r="D201" s="7"/>
      <c r="E201" s="30"/>
      <c r="F201" s="30"/>
    </row>
    <row r="202">
      <c r="B202" s="7"/>
      <c r="D202" s="7"/>
      <c r="E202" s="30"/>
      <c r="F202" s="30"/>
    </row>
    <row r="203">
      <c r="B203" s="7"/>
      <c r="D203" s="7"/>
      <c r="E203" s="30"/>
      <c r="F203" s="30"/>
    </row>
    <row r="204">
      <c r="B204" s="7"/>
      <c r="D204" s="7"/>
      <c r="E204" s="30"/>
      <c r="F204" s="30"/>
    </row>
    <row r="205">
      <c r="B205" s="7"/>
      <c r="D205" s="7"/>
      <c r="E205" s="30"/>
      <c r="F205" s="30"/>
    </row>
    <row r="206">
      <c r="B206" s="7"/>
      <c r="D206" s="7"/>
      <c r="E206" s="30"/>
      <c r="F206" s="30"/>
    </row>
    <row r="207">
      <c r="B207" s="7"/>
      <c r="D207" s="7"/>
      <c r="E207" s="30"/>
      <c r="F207" s="30"/>
    </row>
    <row r="208">
      <c r="B208" s="7"/>
      <c r="D208" s="7"/>
      <c r="E208" s="30"/>
      <c r="F208" s="30"/>
    </row>
    <row r="209">
      <c r="B209" s="7"/>
      <c r="D209" s="7"/>
      <c r="E209" s="30"/>
      <c r="F209" s="30"/>
    </row>
    <row r="210">
      <c r="B210" s="7"/>
      <c r="D210" s="7"/>
      <c r="E210" s="30"/>
      <c r="F210" s="30"/>
    </row>
    <row r="211">
      <c r="B211" s="7"/>
      <c r="D211" s="7"/>
      <c r="E211" s="30"/>
      <c r="F211" s="30"/>
    </row>
    <row r="212">
      <c r="B212" s="7"/>
      <c r="D212" s="7"/>
      <c r="E212" s="30"/>
      <c r="F212" s="30"/>
    </row>
    <row r="213">
      <c r="B213" s="7"/>
      <c r="D213" s="7"/>
      <c r="E213" s="30"/>
      <c r="F213" s="30"/>
    </row>
    <row r="214">
      <c r="B214" s="7"/>
      <c r="D214" s="7"/>
      <c r="E214" s="30"/>
      <c r="F214" s="30"/>
    </row>
    <row r="215">
      <c r="B215" s="7"/>
      <c r="D215" s="7"/>
      <c r="E215" s="30"/>
      <c r="F215" s="30"/>
    </row>
    <row r="216">
      <c r="B216" s="7"/>
      <c r="D216" s="7"/>
      <c r="E216" s="30"/>
      <c r="F216" s="30"/>
    </row>
    <row r="217">
      <c r="B217" s="7"/>
      <c r="D217" s="7"/>
      <c r="E217" s="30"/>
      <c r="F217" s="30"/>
    </row>
    <row r="218">
      <c r="B218" s="7"/>
      <c r="D218" s="7"/>
      <c r="E218" s="30"/>
      <c r="F218" s="30"/>
    </row>
    <row r="219">
      <c r="B219" s="7"/>
      <c r="D219" s="7"/>
      <c r="E219" s="30"/>
      <c r="F219" s="30"/>
    </row>
    <row r="220">
      <c r="B220" s="7"/>
      <c r="D220" s="7"/>
      <c r="E220" s="30"/>
      <c r="F220" s="30"/>
    </row>
    <row r="221">
      <c r="B221" s="7"/>
      <c r="D221" s="7"/>
      <c r="E221" s="30"/>
      <c r="F221" s="30"/>
    </row>
    <row r="222">
      <c r="B222" s="7"/>
      <c r="D222" s="7"/>
      <c r="E222" s="30"/>
      <c r="F222" s="30"/>
    </row>
    <row r="223">
      <c r="B223" s="7"/>
      <c r="D223" s="7"/>
      <c r="E223" s="30"/>
      <c r="F223" s="30"/>
    </row>
    <row r="224">
      <c r="B224" s="7"/>
      <c r="D224" s="7"/>
      <c r="E224" s="30"/>
      <c r="F224" s="30"/>
    </row>
    <row r="225">
      <c r="B225" s="7"/>
      <c r="D225" s="7"/>
      <c r="E225" s="30"/>
      <c r="F225" s="30"/>
    </row>
    <row r="226">
      <c r="B226" s="7"/>
      <c r="D226" s="7"/>
      <c r="E226" s="30"/>
      <c r="F226" s="30"/>
    </row>
    <row r="227">
      <c r="B227" s="7"/>
      <c r="D227" s="7"/>
      <c r="E227" s="30"/>
      <c r="F227" s="30"/>
    </row>
    <row r="228">
      <c r="B228" s="7"/>
      <c r="D228" s="7"/>
      <c r="E228" s="30"/>
      <c r="F228" s="30"/>
    </row>
    <row r="229">
      <c r="B229" s="7"/>
      <c r="D229" s="7"/>
      <c r="E229" s="30"/>
      <c r="F229" s="30"/>
    </row>
    <row r="230">
      <c r="B230" s="7"/>
      <c r="D230" s="7"/>
      <c r="E230" s="30"/>
      <c r="F230" s="30"/>
    </row>
    <row r="231">
      <c r="B231" s="7"/>
      <c r="D231" s="7"/>
      <c r="E231" s="30"/>
      <c r="F231" s="30"/>
    </row>
    <row r="232">
      <c r="B232" s="7"/>
      <c r="D232" s="7"/>
      <c r="E232" s="30"/>
      <c r="F232" s="30"/>
    </row>
    <row r="233">
      <c r="B233" s="7"/>
      <c r="D233" s="7"/>
      <c r="E233" s="30"/>
      <c r="F233" s="30"/>
    </row>
    <row r="234">
      <c r="B234" s="7"/>
      <c r="D234" s="7"/>
      <c r="E234" s="30"/>
      <c r="F234" s="30"/>
    </row>
    <row r="235">
      <c r="B235" s="7"/>
      <c r="D235" s="7"/>
      <c r="E235" s="30"/>
      <c r="F235" s="30"/>
    </row>
    <row r="236">
      <c r="B236" s="7"/>
      <c r="D236" s="7"/>
      <c r="E236" s="30"/>
      <c r="F236" s="30"/>
    </row>
    <row r="237">
      <c r="B237" s="7"/>
      <c r="D237" s="7"/>
      <c r="E237" s="30"/>
      <c r="F237" s="30"/>
    </row>
    <row r="238">
      <c r="B238" s="7"/>
      <c r="D238" s="7"/>
      <c r="E238" s="30"/>
      <c r="F238" s="30"/>
    </row>
    <row r="239">
      <c r="B239" s="7"/>
      <c r="D239" s="7"/>
      <c r="E239" s="30"/>
      <c r="F239" s="30"/>
    </row>
    <row r="240">
      <c r="B240" s="7"/>
      <c r="D240" s="7"/>
      <c r="E240" s="30"/>
      <c r="F240" s="30"/>
    </row>
    <row r="241">
      <c r="B241" s="7"/>
      <c r="D241" s="7"/>
      <c r="E241" s="30"/>
      <c r="F241" s="30"/>
    </row>
    <row r="242">
      <c r="B242" s="7"/>
      <c r="D242" s="7"/>
      <c r="E242" s="30"/>
      <c r="F242" s="30"/>
    </row>
    <row r="243">
      <c r="B243" s="7"/>
      <c r="D243" s="7"/>
      <c r="E243" s="30"/>
      <c r="F243" s="30"/>
    </row>
    <row r="244">
      <c r="B244" s="7"/>
      <c r="D244" s="7"/>
      <c r="E244" s="30"/>
      <c r="F244" s="30"/>
    </row>
    <row r="245">
      <c r="B245" s="7"/>
      <c r="D245" s="7"/>
      <c r="E245" s="30"/>
      <c r="F245" s="30"/>
    </row>
    <row r="246">
      <c r="B246" s="7"/>
      <c r="D246" s="7"/>
      <c r="E246" s="30"/>
      <c r="F246" s="30"/>
    </row>
    <row r="247">
      <c r="B247" s="7"/>
      <c r="D247" s="7"/>
      <c r="E247" s="30"/>
      <c r="F247" s="30"/>
    </row>
    <row r="248">
      <c r="B248" s="7"/>
      <c r="D248" s="7"/>
      <c r="E248" s="30"/>
      <c r="F248" s="30"/>
    </row>
    <row r="249">
      <c r="B249" s="7"/>
      <c r="D249" s="7"/>
      <c r="E249" s="30"/>
      <c r="F249" s="30"/>
    </row>
    <row r="250">
      <c r="B250" s="7"/>
      <c r="D250" s="7"/>
      <c r="E250" s="30"/>
      <c r="F250" s="30"/>
    </row>
    <row r="251">
      <c r="B251" s="7"/>
      <c r="D251" s="7"/>
      <c r="E251" s="30"/>
      <c r="F251" s="30"/>
    </row>
    <row r="252">
      <c r="B252" s="7"/>
      <c r="D252" s="7"/>
      <c r="E252" s="30"/>
      <c r="F252" s="30"/>
    </row>
    <row r="253">
      <c r="B253" s="7"/>
      <c r="D253" s="7"/>
      <c r="E253" s="30"/>
      <c r="F253" s="30"/>
    </row>
    <row r="254">
      <c r="B254" s="7"/>
      <c r="D254" s="7"/>
      <c r="E254" s="30"/>
      <c r="F254" s="30"/>
    </row>
    <row r="255">
      <c r="B255" s="7"/>
      <c r="D255" s="7"/>
      <c r="E255" s="30"/>
      <c r="F255" s="30"/>
    </row>
    <row r="256">
      <c r="B256" s="7"/>
      <c r="D256" s="7"/>
      <c r="E256" s="30"/>
      <c r="F256" s="30"/>
    </row>
    <row r="257">
      <c r="B257" s="7"/>
      <c r="D257" s="7"/>
      <c r="E257" s="30"/>
      <c r="F257" s="30"/>
    </row>
    <row r="258">
      <c r="B258" s="7"/>
      <c r="D258" s="7"/>
      <c r="E258" s="30"/>
      <c r="F258" s="30"/>
    </row>
    <row r="259">
      <c r="B259" s="7"/>
      <c r="D259" s="7"/>
      <c r="E259" s="30"/>
      <c r="F259" s="30"/>
    </row>
    <row r="260">
      <c r="B260" s="7"/>
      <c r="D260" s="7"/>
      <c r="E260" s="30"/>
      <c r="F260" s="30"/>
    </row>
    <row r="261">
      <c r="B261" s="7"/>
      <c r="D261" s="7"/>
      <c r="E261" s="30"/>
      <c r="F261" s="30"/>
    </row>
    <row r="262">
      <c r="B262" s="7"/>
      <c r="D262" s="7"/>
      <c r="E262" s="30"/>
      <c r="F262" s="30"/>
    </row>
    <row r="263">
      <c r="B263" s="7"/>
      <c r="D263" s="7"/>
      <c r="E263" s="30"/>
      <c r="F263" s="30"/>
    </row>
    <row r="264">
      <c r="B264" s="7"/>
      <c r="D264" s="7"/>
      <c r="E264" s="30"/>
      <c r="F264" s="30"/>
    </row>
    <row r="265">
      <c r="B265" s="7"/>
      <c r="D265" s="7"/>
      <c r="E265" s="30"/>
      <c r="F265" s="30"/>
    </row>
    <row r="266">
      <c r="B266" s="7"/>
      <c r="D266" s="7"/>
      <c r="E266" s="30"/>
      <c r="F266" s="30"/>
    </row>
    <row r="267">
      <c r="B267" s="7"/>
      <c r="D267" s="7"/>
      <c r="E267" s="30"/>
      <c r="F267" s="30"/>
    </row>
    <row r="268">
      <c r="B268" s="7"/>
      <c r="D268" s="7"/>
      <c r="E268" s="30"/>
      <c r="F268" s="30"/>
    </row>
    <row r="269">
      <c r="B269" s="7"/>
      <c r="D269" s="7"/>
      <c r="E269" s="30"/>
      <c r="F269" s="30"/>
    </row>
    <row r="270">
      <c r="B270" s="7"/>
      <c r="D270" s="7"/>
      <c r="E270" s="30"/>
      <c r="F270" s="30"/>
    </row>
    <row r="271">
      <c r="B271" s="7"/>
      <c r="D271" s="7"/>
      <c r="E271" s="30"/>
      <c r="F271" s="30"/>
    </row>
    <row r="272">
      <c r="B272" s="7"/>
      <c r="D272" s="7"/>
      <c r="E272" s="30"/>
      <c r="F272" s="30"/>
    </row>
    <row r="273">
      <c r="B273" s="7"/>
      <c r="D273" s="7"/>
      <c r="E273" s="30"/>
      <c r="F273" s="30"/>
    </row>
    <row r="274">
      <c r="B274" s="7"/>
      <c r="D274" s="7"/>
      <c r="E274" s="30"/>
      <c r="F274" s="30"/>
    </row>
    <row r="275">
      <c r="B275" s="7"/>
      <c r="D275" s="7"/>
      <c r="E275" s="30"/>
      <c r="F275" s="30"/>
    </row>
    <row r="276">
      <c r="B276" s="7"/>
      <c r="D276" s="7"/>
      <c r="E276" s="30"/>
      <c r="F276" s="30"/>
    </row>
    <row r="277">
      <c r="B277" s="7"/>
      <c r="D277" s="7"/>
      <c r="E277" s="30"/>
      <c r="F277" s="30"/>
    </row>
    <row r="278">
      <c r="B278" s="7"/>
      <c r="D278" s="7"/>
      <c r="E278" s="30"/>
      <c r="F278" s="30"/>
    </row>
    <row r="279">
      <c r="B279" s="7"/>
      <c r="D279" s="7"/>
      <c r="E279" s="30"/>
      <c r="F279" s="30"/>
    </row>
    <row r="280">
      <c r="B280" s="7"/>
      <c r="D280" s="7"/>
      <c r="E280" s="30"/>
      <c r="F280" s="30"/>
    </row>
    <row r="281">
      <c r="B281" s="7"/>
      <c r="D281" s="7"/>
      <c r="E281" s="30"/>
      <c r="F281" s="30"/>
    </row>
    <row r="282">
      <c r="B282" s="7"/>
      <c r="D282" s="7"/>
      <c r="E282" s="30"/>
      <c r="F282" s="30"/>
    </row>
    <row r="283">
      <c r="B283" s="7"/>
      <c r="D283" s="7"/>
      <c r="E283" s="30"/>
      <c r="F283" s="30"/>
    </row>
    <row r="284">
      <c r="B284" s="7"/>
      <c r="D284" s="7"/>
      <c r="E284" s="30"/>
      <c r="F284" s="30"/>
    </row>
    <row r="285">
      <c r="B285" s="7"/>
      <c r="D285" s="7"/>
      <c r="E285" s="30"/>
      <c r="F285" s="30"/>
    </row>
    <row r="286">
      <c r="B286" s="7"/>
      <c r="D286" s="7"/>
      <c r="E286" s="30"/>
      <c r="F286" s="30"/>
    </row>
    <row r="287">
      <c r="B287" s="7"/>
      <c r="D287" s="7"/>
      <c r="E287" s="30"/>
      <c r="F287" s="30"/>
    </row>
    <row r="288">
      <c r="B288" s="7"/>
      <c r="D288" s="7"/>
      <c r="E288" s="30"/>
      <c r="F288" s="30"/>
    </row>
    <row r="289">
      <c r="B289" s="7"/>
      <c r="D289" s="7"/>
      <c r="E289" s="30"/>
      <c r="F289" s="30"/>
    </row>
    <row r="290">
      <c r="B290" s="7"/>
      <c r="D290" s="7"/>
      <c r="E290" s="30"/>
      <c r="F290" s="30"/>
    </row>
    <row r="291">
      <c r="B291" s="7"/>
      <c r="D291" s="7"/>
      <c r="E291" s="30"/>
      <c r="F291" s="30"/>
    </row>
    <row r="292">
      <c r="B292" s="7"/>
      <c r="D292" s="7"/>
      <c r="E292" s="30"/>
      <c r="F292" s="30"/>
    </row>
    <row r="293">
      <c r="B293" s="7"/>
      <c r="D293" s="7"/>
      <c r="E293" s="30"/>
      <c r="F293" s="30"/>
    </row>
    <row r="294">
      <c r="B294" s="7"/>
      <c r="D294" s="7"/>
      <c r="E294" s="30"/>
      <c r="F294" s="30"/>
    </row>
    <row r="295">
      <c r="B295" s="7"/>
      <c r="D295" s="7"/>
      <c r="E295" s="30"/>
      <c r="F295" s="30"/>
    </row>
    <row r="296">
      <c r="B296" s="7"/>
      <c r="D296" s="7"/>
      <c r="E296" s="30"/>
      <c r="F296" s="30"/>
    </row>
    <row r="297">
      <c r="B297" s="7"/>
      <c r="D297" s="7"/>
      <c r="E297" s="30"/>
      <c r="F297" s="30"/>
    </row>
    <row r="298">
      <c r="B298" s="7"/>
      <c r="D298" s="7"/>
      <c r="E298" s="30"/>
      <c r="F298" s="30"/>
    </row>
    <row r="299">
      <c r="B299" s="7"/>
      <c r="D299" s="7"/>
      <c r="E299" s="30"/>
      <c r="F299" s="30"/>
    </row>
    <row r="300">
      <c r="B300" s="7"/>
      <c r="D300" s="7"/>
      <c r="E300" s="30"/>
      <c r="F300" s="30"/>
    </row>
    <row r="301">
      <c r="B301" s="7"/>
      <c r="D301" s="7"/>
      <c r="E301" s="30"/>
      <c r="F301" s="30"/>
    </row>
    <row r="302">
      <c r="B302" s="7"/>
      <c r="D302" s="7"/>
      <c r="E302" s="30"/>
      <c r="F302" s="30"/>
    </row>
    <row r="303">
      <c r="B303" s="7"/>
      <c r="D303" s="7"/>
      <c r="E303" s="30"/>
      <c r="F303" s="30"/>
    </row>
    <row r="304">
      <c r="B304" s="7"/>
      <c r="D304" s="7"/>
      <c r="E304" s="30"/>
      <c r="F304" s="30"/>
    </row>
    <row r="305">
      <c r="B305" s="7"/>
      <c r="D305" s="7"/>
      <c r="E305" s="30"/>
      <c r="F305" s="30"/>
    </row>
    <row r="306">
      <c r="B306" s="7"/>
      <c r="D306" s="7"/>
      <c r="E306" s="30"/>
      <c r="F306" s="30"/>
    </row>
    <row r="307">
      <c r="B307" s="7"/>
      <c r="D307" s="7"/>
      <c r="E307" s="30"/>
      <c r="F307" s="30"/>
    </row>
    <row r="308">
      <c r="B308" s="7"/>
      <c r="D308" s="7"/>
      <c r="E308" s="30"/>
      <c r="F308" s="30"/>
    </row>
    <row r="309">
      <c r="B309" s="7"/>
      <c r="D309" s="7"/>
      <c r="E309" s="30"/>
      <c r="F309" s="30"/>
    </row>
    <row r="310">
      <c r="B310" s="7"/>
      <c r="D310" s="7"/>
      <c r="E310" s="30"/>
      <c r="F310" s="30"/>
    </row>
    <row r="311">
      <c r="B311" s="7"/>
      <c r="D311" s="7"/>
      <c r="E311" s="30"/>
      <c r="F311" s="30"/>
    </row>
    <row r="312">
      <c r="B312" s="7"/>
      <c r="D312" s="7"/>
      <c r="E312" s="30"/>
      <c r="F312" s="30"/>
    </row>
    <row r="313">
      <c r="B313" s="7"/>
      <c r="D313" s="7"/>
      <c r="E313" s="30"/>
      <c r="F313" s="30"/>
    </row>
    <row r="314">
      <c r="B314" s="7"/>
      <c r="D314" s="7"/>
      <c r="E314" s="30"/>
      <c r="F314" s="30"/>
    </row>
    <row r="315">
      <c r="B315" s="7"/>
      <c r="D315" s="7"/>
      <c r="E315" s="30"/>
      <c r="F315" s="30"/>
    </row>
    <row r="316">
      <c r="B316" s="7"/>
      <c r="D316" s="7"/>
      <c r="E316" s="30"/>
      <c r="F316" s="30"/>
    </row>
    <row r="317">
      <c r="B317" s="7"/>
      <c r="D317" s="7"/>
      <c r="E317" s="30"/>
      <c r="F317" s="30"/>
    </row>
    <row r="318">
      <c r="B318" s="7"/>
      <c r="D318" s="7"/>
      <c r="E318" s="30"/>
      <c r="F318" s="30"/>
    </row>
    <row r="319">
      <c r="B319" s="7"/>
      <c r="D319" s="7"/>
      <c r="E319" s="30"/>
      <c r="F319" s="30"/>
    </row>
    <row r="320">
      <c r="B320" s="7"/>
      <c r="D320" s="7"/>
      <c r="E320" s="30"/>
      <c r="F320" s="30"/>
    </row>
    <row r="321">
      <c r="B321" s="7"/>
      <c r="D321" s="7"/>
      <c r="E321" s="30"/>
      <c r="F321" s="30"/>
    </row>
    <row r="322">
      <c r="B322" s="7"/>
      <c r="D322" s="7"/>
      <c r="E322" s="30"/>
      <c r="F322" s="30"/>
    </row>
    <row r="323">
      <c r="B323" s="7"/>
      <c r="D323" s="7"/>
      <c r="E323" s="30"/>
      <c r="F323" s="30"/>
    </row>
    <row r="324">
      <c r="B324" s="7"/>
      <c r="D324" s="7"/>
      <c r="E324" s="30"/>
      <c r="F324" s="30"/>
    </row>
    <row r="325">
      <c r="B325" s="7"/>
      <c r="D325" s="7"/>
      <c r="E325" s="30"/>
      <c r="F325" s="30"/>
    </row>
    <row r="326">
      <c r="B326" s="7"/>
      <c r="D326" s="7"/>
      <c r="E326" s="30"/>
      <c r="F326" s="30"/>
    </row>
    <row r="327">
      <c r="B327" s="7"/>
      <c r="D327" s="7"/>
      <c r="E327" s="30"/>
      <c r="F327" s="30"/>
    </row>
    <row r="328">
      <c r="B328" s="7"/>
      <c r="D328" s="7"/>
      <c r="E328" s="30"/>
      <c r="F328" s="30"/>
    </row>
    <row r="329">
      <c r="B329" s="7"/>
      <c r="D329" s="7"/>
      <c r="E329" s="30"/>
      <c r="F329" s="30"/>
    </row>
    <row r="330">
      <c r="B330" s="7"/>
      <c r="D330" s="7"/>
      <c r="E330" s="30"/>
      <c r="F330" s="30"/>
    </row>
    <row r="331">
      <c r="B331" s="7"/>
      <c r="D331" s="7"/>
      <c r="E331" s="30"/>
      <c r="F331" s="30"/>
    </row>
    <row r="332">
      <c r="B332" s="7"/>
      <c r="D332" s="7"/>
      <c r="E332" s="30"/>
      <c r="F332" s="30"/>
    </row>
    <row r="333">
      <c r="B333" s="7"/>
      <c r="D333" s="7"/>
      <c r="E333" s="30"/>
      <c r="F333" s="30"/>
    </row>
    <row r="334">
      <c r="B334" s="7"/>
      <c r="D334" s="7"/>
      <c r="E334" s="30"/>
      <c r="F334" s="30"/>
    </row>
    <row r="335">
      <c r="B335" s="7"/>
      <c r="D335" s="7"/>
      <c r="E335" s="30"/>
      <c r="F335" s="30"/>
    </row>
    <row r="336">
      <c r="B336" s="7"/>
      <c r="D336" s="7"/>
      <c r="E336" s="30"/>
      <c r="F336" s="30"/>
    </row>
    <row r="337">
      <c r="B337" s="7"/>
      <c r="D337" s="7"/>
      <c r="E337" s="30"/>
      <c r="F337" s="30"/>
    </row>
    <row r="338">
      <c r="B338" s="7"/>
      <c r="D338" s="7"/>
      <c r="E338" s="30"/>
      <c r="F338" s="30"/>
    </row>
    <row r="339">
      <c r="B339" s="7"/>
      <c r="D339" s="7"/>
      <c r="E339" s="30"/>
      <c r="F339" s="30"/>
    </row>
    <row r="340">
      <c r="B340" s="7"/>
      <c r="D340" s="7"/>
      <c r="E340" s="30"/>
      <c r="F340" s="30"/>
    </row>
    <row r="341">
      <c r="B341" s="7"/>
      <c r="D341" s="7"/>
      <c r="E341" s="30"/>
      <c r="F341" s="30"/>
    </row>
    <row r="342">
      <c r="B342" s="7"/>
      <c r="D342" s="7"/>
      <c r="E342" s="30"/>
      <c r="F342" s="30"/>
    </row>
    <row r="343">
      <c r="B343" s="7"/>
      <c r="D343" s="7"/>
      <c r="E343" s="30"/>
      <c r="F343" s="30"/>
    </row>
    <row r="344">
      <c r="B344" s="7"/>
      <c r="D344" s="7"/>
      <c r="E344" s="30"/>
      <c r="F344" s="30"/>
    </row>
    <row r="345">
      <c r="B345" s="7"/>
      <c r="D345" s="7"/>
      <c r="E345" s="30"/>
      <c r="F345" s="30"/>
    </row>
    <row r="346">
      <c r="B346" s="7"/>
      <c r="D346" s="7"/>
      <c r="E346" s="30"/>
      <c r="F346" s="30"/>
    </row>
    <row r="347">
      <c r="B347" s="7"/>
      <c r="D347" s="7"/>
      <c r="E347" s="30"/>
      <c r="F347" s="30"/>
    </row>
    <row r="348">
      <c r="B348" s="7"/>
      <c r="D348" s="7"/>
      <c r="E348" s="30"/>
      <c r="F348" s="30"/>
    </row>
    <row r="349">
      <c r="B349" s="7"/>
      <c r="D349" s="7"/>
      <c r="E349" s="30"/>
      <c r="F349" s="30"/>
    </row>
    <row r="350">
      <c r="B350" s="7"/>
      <c r="D350" s="7"/>
      <c r="E350" s="30"/>
      <c r="F350" s="30"/>
    </row>
    <row r="351">
      <c r="B351" s="7"/>
      <c r="D351" s="7"/>
      <c r="E351" s="30"/>
      <c r="F351" s="30"/>
    </row>
    <row r="352">
      <c r="B352" s="7"/>
      <c r="D352" s="7"/>
      <c r="E352" s="30"/>
      <c r="F352" s="30"/>
    </row>
    <row r="353">
      <c r="B353" s="7"/>
      <c r="D353" s="7"/>
      <c r="E353" s="30"/>
      <c r="F353" s="30"/>
    </row>
    <row r="354">
      <c r="B354" s="7"/>
      <c r="D354" s="7"/>
      <c r="E354" s="30"/>
      <c r="F354" s="30"/>
    </row>
    <row r="355">
      <c r="B355" s="7"/>
      <c r="D355" s="7"/>
      <c r="E355" s="30"/>
      <c r="F355" s="30"/>
    </row>
    <row r="356">
      <c r="B356" s="7"/>
      <c r="D356" s="7"/>
      <c r="E356" s="30"/>
      <c r="F356" s="30"/>
    </row>
    <row r="357">
      <c r="B357" s="7"/>
      <c r="D357" s="7"/>
      <c r="E357" s="30"/>
      <c r="F357" s="30"/>
    </row>
    <row r="358">
      <c r="B358" s="7"/>
      <c r="D358" s="7"/>
      <c r="E358" s="30"/>
      <c r="F358" s="30"/>
    </row>
    <row r="359">
      <c r="B359" s="7"/>
      <c r="D359" s="7"/>
      <c r="E359" s="30"/>
      <c r="F359" s="30"/>
    </row>
    <row r="360">
      <c r="B360" s="7"/>
      <c r="D360" s="7"/>
      <c r="E360" s="30"/>
      <c r="F360" s="30"/>
    </row>
    <row r="361">
      <c r="B361" s="7"/>
      <c r="D361" s="7"/>
      <c r="E361" s="30"/>
      <c r="F361" s="30"/>
    </row>
    <row r="362">
      <c r="B362" s="7"/>
      <c r="D362" s="7"/>
      <c r="E362" s="30"/>
      <c r="F362" s="30"/>
    </row>
    <row r="363">
      <c r="B363" s="7"/>
      <c r="D363" s="7"/>
      <c r="E363" s="30"/>
      <c r="F363" s="30"/>
    </row>
    <row r="364">
      <c r="B364" s="7"/>
      <c r="D364" s="7"/>
      <c r="E364" s="30"/>
      <c r="F364" s="30"/>
    </row>
    <row r="365">
      <c r="B365" s="7"/>
      <c r="D365" s="7"/>
      <c r="E365" s="30"/>
      <c r="F365" s="30"/>
    </row>
    <row r="366">
      <c r="B366" s="7"/>
      <c r="D366" s="7"/>
      <c r="E366" s="30"/>
      <c r="F366" s="30"/>
    </row>
    <row r="367">
      <c r="B367" s="7"/>
      <c r="D367" s="7"/>
      <c r="E367" s="30"/>
      <c r="F367" s="30"/>
    </row>
    <row r="368">
      <c r="B368" s="7"/>
      <c r="D368" s="7"/>
      <c r="E368" s="30"/>
      <c r="F368" s="30"/>
    </row>
    <row r="369">
      <c r="B369" s="7"/>
      <c r="D369" s="7"/>
      <c r="E369" s="30"/>
      <c r="F369" s="30"/>
    </row>
    <row r="370">
      <c r="B370" s="7"/>
      <c r="D370" s="7"/>
      <c r="E370" s="30"/>
      <c r="F370" s="30"/>
    </row>
    <row r="371">
      <c r="B371" s="7"/>
      <c r="D371" s="7"/>
      <c r="E371" s="30"/>
      <c r="F371" s="30"/>
    </row>
    <row r="372">
      <c r="B372" s="7"/>
      <c r="D372" s="7"/>
      <c r="E372" s="30"/>
      <c r="F372" s="30"/>
    </row>
    <row r="373">
      <c r="B373" s="7"/>
      <c r="D373" s="7"/>
      <c r="E373" s="30"/>
      <c r="F373" s="30"/>
    </row>
    <row r="374">
      <c r="B374" s="7"/>
      <c r="D374" s="7"/>
      <c r="E374" s="30"/>
      <c r="F374" s="30"/>
    </row>
    <row r="375">
      <c r="B375" s="7"/>
      <c r="D375" s="7"/>
      <c r="E375" s="30"/>
      <c r="F375" s="30"/>
    </row>
    <row r="376">
      <c r="B376" s="7"/>
      <c r="D376" s="7"/>
      <c r="E376" s="30"/>
      <c r="F376" s="30"/>
    </row>
    <row r="377">
      <c r="B377" s="7"/>
      <c r="D377" s="7"/>
      <c r="E377" s="30"/>
      <c r="F377" s="30"/>
    </row>
    <row r="378">
      <c r="B378" s="7"/>
      <c r="D378" s="7"/>
      <c r="E378" s="30"/>
      <c r="F378" s="30"/>
    </row>
    <row r="379">
      <c r="B379" s="7"/>
      <c r="D379" s="7"/>
      <c r="E379" s="30"/>
      <c r="F379" s="30"/>
    </row>
    <row r="380">
      <c r="B380" s="7"/>
      <c r="D380" s="7"/>
      <c r="E380" s="30"/>
      <c r="F380" s="30"/>
    </row>
    <row r="381">
      <c r="B381" s="7"/>
      <c r="D381" s="7"/>
      <c r="E381" s="30"/>
      <c r="F381" s="30"/>
    </row>
    <row r="382">
      <c r="B382" s="7"/>
      <c r="D382" s="7"/>
      <c r="E382" s="30"/>
      <c r="F382" s="30"/>
    </row>
    <row r="383">
      <c r="B383" s="7"/>
      <c r="D383" s="7"/>
      <c r="E383" s="30"/>
      <c r="F383" s="30"/>
    </row>
    <row r="384">
      <c r="B384" s="7"/>
      <c r="D384" s="7"/>
      <c r="E384" s="30"/>
      <c r="F384" s="30"/>
    </row>
    <row r="385">
      <c r="B385" s="7"/>
      <c r="D385" s="7"/>
      <c r="E385" s="30"/>
      <c r="F385" s="30"/>
    </row>
    <row r="386">
      <c r="B386" s="7"/>
      <c r="D386" s="7"/>
      <c r="E386" s="30"/>
      <c r="F386" s="30"/>
    </row>
    <row r="387">
      <c r="B387" s="7"/>
      <c r="D387" s="7"/>
      <c r="E387" s="30"/>
      <c r="F387" s="30"/>
    </row>
    <row r="388">
      <c r="B388" s="7"/>
      <c r="D388" s="7"/>
      <c r="E388" s="30"/>
      <c r="F388" s="30"/>
    </row>
    <row r="389">
      <c r="B389" s="7"/>
      <c r="D389" s="7"/>
      <c r="E389" s="30"/>
      <c r="F389" s="30"/>
    </row>
    <row r="390">
      <c r="B390" s="7"/>
      <c r="D390" s="7"/>
      <c r="E390" s="30"/>
      <c r="F390" s="30"/>
    </row>
    <row r="391">
      <c r="B391" s="7"/>
      <c r="D391" s="7"/>
      <c r="E391" s="30"/>
      <c r="F391" s="30"/>
    </row>
    <row r="392">
      <c r="B392" s="7"/>
      <c r="D392" s="7"/>
      <c r="E392" s="30"/>
      <c r="F392" s="30"/>
    </row>
    <row r="393">
      <c r="B393" s="7"/>
      <c r="D393" s="7"/>
      <c r="E393" s="30"/>
      <c r="F393" s="30"/>
    </row>
    <row r="394">
      <c r="B394" s="7"/>
      <c r="D394" s="7"/>
      <c r="E394" s="30"/>
      <c r="F394" s="30"/>
    </row>
    <row r="395">
      <c r="B395" s="7"/>
      <c r="D395" s="7"/>
      <c r="E395" s="30"/>
      <c r="F395" s="30"/>
    </row>
    <row r="396">
      <c r="B396" s="7"/>
      <c r="D396" s="7"/>
      <c r="E396" s="30"/>
      <c r="F396" s="30"/>
    </row>
    <row r="397">
      <c r="B397" s="7"/>
      <c r="D397" s="7"/>
      <c r="E397" s="30"/>
      <c r="F397" s="30"/>
    </row>
    <row r="398">
      <c r="B398" s="7"/>
      <c r="D398" s="7"/>
      <c r="E398" s="30"/>
      <c r="F398" s="30"/>
    </row>
    <row r="399">
      <c r="B399" s="7"/>
      <c r="D399" s="7"/>
      <c r="E399" s="30"/>
      <c r="F399" s="30"/>
    </row>
    <row r="400">
      <c r="B400" s="7"/>
      <c r="D400" s="7"/>
      <c r="E400" s="30"/>
      <c r="F400" s="30"/>
    </row>
    <row r="401">
      <c r="B401" s="7"/>
      <c r="D401" s="7"/>
      <c r="E401" s="30"/>
      <c r="F401" s="30"/>
    </row>
    <row r="402">
      <c r="B402" s="7"/>
      <c r="D402" s="7"/>
      <c r="E402" s="30"/>
      <c r="F402" s="30"/>
    </row>
    <row r="403">
      <c r="B403" s="7"/>
      <c r="D403" s="7"/>
      <c r="E403" s="30"/>
      <c r="F403" s="30"/>
    </row>
    <row r="404">
      <c r="B404" s="7"/>
      <c r="D404" s="7"/>
      <c r="E404" s="30"/>
      <c r="F404" s="30"/>
    </row>
    <row r="405">
      <c r="B405" s="7"/>
      <c r="D405" s="7"/>
      <c r="E405" s="30"/>
      <c r="F405" s="30"/>
    </row>
    <row r="406">
      <c r="B406" s="7"/>
      <c r="D406" s="7"/>
      <c r="E406" s="30"/>
      <c r="F406" s="30"/>
    </row>
    <row r="407">
      <c r="B407" s="7"/>
      <c r="D407" s="7"/>
      <c r="E407" s="30"/>
      <c r="F407" s="30"/>
    </row>
    <row r="408">
      <c r="B408" s="7"/>
      <c r="D408" s="7"/>
      <c r="E408" s="30"/>
      <c r="F408" s="30"/>
    </row>
    <row r="409">
      <c r="B409" s="7"/>
      <c r="D409" s="7"/>
      <c r="E409" s="30"/>
      <c r="F409" s="30"/>
    </row>
    <row r="410">
      <c r="B410" s="7"/>
      <c r="D410" s="7"/>
      <c r="E410" s="30"/>
      <c r="F410" s="30"/>
    </row>
    <row r="411">
      <c r="B411" s="7"/>
      <c r="D411" s="7"/>
      <c r="E411" s="30"/>
      <c r="F411" s="30"/>
    </row>
    <row r="412">
      <c r="B412" s="7"/>
      <c r="D412" s="7"/>
      <c r="E412" s="30"/>
      <c r="F412" s="30"/>
    </row>
    <row r="413">
      <c r="B413" s="7"/>
      <c r="D413" s="7"/>
      <c r="E413" s="30"/>
      <c r="F413" s="30"/>
    </row>
    <row r="414">
      <c r="B414" s="7"/>
      <c r="D414" s="7"/>
      <c r="E414" s="30"/>
      <c r="F414" s="30"/>
    </row>
    <row r="415">
      <c r="B415" s="7"/>
      <c r="D415" s="7"/>
      <c r="E415" s="30"/>
      <c r="F415" s="30"/>
    </row>
    <row r="416">
      <c r="B416" s="7"/>
      <c r="D416" s="7"/>
      <c r="E416" s="30"/>
      <c r="F416" s="30"/>
    </row>
    <row r="417">
      <c r="B417" s="7"/>
      <c r="D417" s="7"/>
      <c r="E417" s="30"/>
      <c r="F417" s="30"/>
    </row>
    <row r="418">
      <c r="B418" s="7"/>
      <c r="D418" s="7"/>
      <c r="E418" s="30"/>
      <c r="F418" s="30"/>
    </row>
    <row r="419">
      <c r="B419" s="7"/>
      <c r="D419" s="7"/>
      <c r="E419" s="30"/>
      <c r="F419" s="30"/>
    </row>
    <row r="420">
      <c r="B420" s="7"/>
      <c r="D420" s="7"/>
      <c r="E420" s="30"/>
      <c r="F420" s="30"/>
    </row>
    <row r="421">
      <c r="B421" s="7"/>
      <c r="D421" s="7"/>
      <c r="E421" s="30"/>
      <c r="F421" s="30"/>
    </row>
    <row r="422">
      <c r="B422" s="7"/>
      <c r="D422" s="7"/>
      <c r="E422" s="30"/>
      <c r="F422" s="30"/>
    </row>
    <row r="423">
      <c r="B423" s="7"/>
      <c r="D423" s="7"/>
      <c r="E423" s="30"/>
      <c r="F423" s="30"/>
    </row>
    <row r="424">
      <c r="B424" s="7"/>
      <c r="D424" s="7"/>
      <c r="E424" s="30"/>
      <c r="F424" s="30"/>
    </row>
    <row r="425">
      <c r="B425" s="7"/>
      <c r="D425" s="7"/>
      <c r="E425" s="30"/>
      <c r="F425" s="30"/>
    </row>
    <row r="426">
      <c r="B426" s="7"/>
      <c r="D426" s="7"/>
      <c r="E426" s="30"/>
      <c r="F426" s="30"/>
    </row>
    <row r="427">
      <c r="B427" s="7"/>
      <c r="D427" s="7"/>
      <c r="E427" s="30"/>
      <c r="F427" s="30"/>
    </row>
    <row r="428">
      <c r="B428" s="7"/>
      <c r="D428" s="7"/>
      <c r="E428" s="30"/>
      <c r="F428" s="30"/>
    </row>
    <row r="429">
      <c r="B429" s="7"/>
      <c r="D429" s="7"/>
      <c r="E429" s="30"/>
      <c r="F429" s="30"/>
    </row>
    <row r="430">
      <c r="B430" s="7"/>
      <c r="D430" s="7"/>
      <c r="E430" s="30"/>
      <c r="F430" s="30"/>
    </row>
    <row r="431">
      <c r="B431" s="7"/>
      <c r="D431" s="7"/>
      <c r="E431" s="30"/>
      <c r="F431" s="30"/>
    </row>
    <row r="432">
      <c r="B432" s="7"/>
      <c r="D432" s="7"/>
      <c r="E432" s="30"/>
      <c r="F432" s="30"/>
    </row>
    <row r="433">
      <c r="B433" s="7"/>
      <c r="D433" s="7"/>
      <c r="E433" s="30"/>
      <c r="F433" s="30"/>
    </row>
    <row r="434">
      <c r="B434" s="7"/>
      <c r="D434" s="7"/>
      <c r="E434" s="30"/>
      <c r="F434" s="30"/>
    </row>
    <row r="435">
      <c r="B435" s="7"/>
      <c r="D435" s="7"/>
      <c r="E435" s="30"/>
      <c r="F435" s="30"/>
    </row>
    <row r="436">
      <c r="B436" s="7"/>
      <c r="D436" s="7"/>
      <c r="E436" s="30"/>
      <c r="F436" s="30"/>
    </row>
    <row r="437">
      <c r="B437" s="7"/>
      <c r="D437" s="7"/>
      <c r="E437" s="30"/>
      <c r="F437" s="30"/>
    </row>
    <row r="438">
      <c r="B438" s="7"/>
      <c r="D438" s="7"/>
      <c r="E438" s="30"/>
      <c r="F438" s="30"/>
    </row>
    <row r="439">
      <c r="B439" s="7"/>
      <c r="D439" s="7"/>
      <c r="E439" s="30"/>
      <c r="F439" s="30"/>
    </row>
    <row r="440">
      <c r="B440" s="7"/>
      <c r="D440" s="7"/>
      <c r="E440" s="30"/>
      <c r="F440" s="30"/>
    </row>
    <row r="441">
      <c r="B441" s="7"/>
      <c r="D441" s="7"/>
      <c r="E441" s="30"/>
      <c r="F441" s="30"/>
    </row>
    <row r="442">
      <c r="B442" s="7"/>
      <c r="D442" s="7"/>
      <c r="E442" s="30"/>
      <c r="F442" s="30"/>
    </row>
    <row r="443">
      <c r="B443" s="7"/>
      <c r="D443" s="7"/>
      <c r="E443" s="30"/>
      <c r="F443" s="30"/>
    </row>
    <row r="444">
      <c r="B444" s="7"/>
      <c r="D444" s="7"/>
      <c r="E444" s="30"/>
      <c r="F444" s="30"/>
    </row>
    <row r="445">
      <c r="B445" s="7"/>
      <c r="D445" s="7"/>
      <c r="E445" s="30"/>
      <c r="F445" s="30"/>
    </row>
    <row r="446">
      <c r="B446" s="7"/>
      <c r="D446" s="7"/>
      <c r="E446" s="30"/>
      <c r="F446" s="30"/>
    </row>
    <row r="447">
      <c r="B447" s="7"/>
      <c r="D447" s="7"/>
      <c r="E447" s="30"/>
      <c r="F447" s="30"/>
    </row>
    <row r="448">
      <c r="B448" s="7"/>
      <c r="D448" s="7"/>
      <c r="E448" s="30"/>
      <c r="F448" s="30"/>
    </row>
    <row r="449">
      <c r="B449" s="7"/>
      <c r="D449" s="7"/>
      <c r="E449" s="30"/>
      <c r="F449" s="30"/>
    </row>
    <row r="450">
      <c r="B450" s="7"/>
      <c r="D450" s="7"/>
      <c r="E450" s="30"/>
      <c r="F450" s="30"/>
    </row>
    <row r="451">
      <c r="B451" s="7"/>
      <c r="D451" s="7"/>
      <c r="E451" s="30"/>
      <c r="F451" s="30"/>
    </row>
    <row r="452">
      <c r="B452" s="7"/>
      <c r="D452" s="7"/>
      <c r="E452" s="30"/>
      <c r="F452" s="30"/>
    </row>
    <row r="453">
      <c r="B453" s="7"/>
      <c r="D453" s="7"/>
      <c r="E453" s="30"/>
      <c r="F453" s="30"/>
    </row>
    <row r="454">
      <c r="B454" s="7"/>
      <c r="D454" s="7"/>
      <c r="E454" s="30"/>
      <c r="F454" s="30"/>
    </row>
    <row r="455">
      <c r="B455" s="7"/>
      <c r="D455" s="7"/>
      <c r="E455" s="30"/>
      <c r="F455" s="30"/>
    </row>
    <row r="456">
      <c r="B456" s="7"/>
      <c r="D456" s="7"/>
      <c r="E456" s="30"/>
      <c r="F456" s="30"/>
    </row>
    <row r="457">
      <c r="B457" s="7"/>
      <c r="D457" s="7"/>
      <c r="E457" s="30"/>
      <c r="F457" s="30"/>
    </row>
    <row r="458">
      <c r="B458" s="7"/>
      <c r="D458" s="7"/>
      <c r="E458" s="30"/>
      <c r="F458" s="30"/>
    </row>
    <row r="459">
      <c r="B459" s="7"/>
      <c r="D459" s="7"/>
      <c r="E459" s="30"/>
      <c r="F459" s="30"/>
    </row>
    <row r="460">
      <c r="B460" s="7"/>
      <c r="D460" s="7"/>
      <c r="E460" s="30"/>
      <c r="F460" s="30"/>
    </row>
    <row r="461">
      <c r="B461" s="7"/>
      <c r="D461" s="7"/>
      <c r="E461" s="30"/>
      <c r="F461" s="30"/>
    </row>
    <row r="462">
      <c r="B462" s="7"/>
      <c r="D462" s="7"/>
      <c r="E462" s="30"/>
      <c r="F462" s="30"/>
    </row>
    <row r="463">
      <c r="B463" s="7"/>
      <c r="D463" s="7"/>
      <c r="E463" s="30"/>
      <c r="F463" s="30"/>
    </row>
    <row r="464">
      <c r="B464" s="7"/>
      <c r="D464" s="7"/>
      <c r="E464" s="30"/>
      <c r="F464" s="30"/>
    </row>
    <row r="465">
      <c r="B465" s="7"/>
      <c r="D465" s="7"/>
      <c r="E465" s="30"/>
      <c r="F465" s="30"/>
    </row>
    <row r="466">
      <c r="B466" s="7"/>
      <c r="D466" s="7"/>
      <c r="E466" s="30"/>
      <c r="F466" s="30"/>
    </row>
    <row r="467">
      <c r="B467" s="7"/>
      <c r="D467" s="7"/>
      <c r="E467" s="30"/>
      <c r="F467" s="30"/>
    </row>
    <row r="468">
      <c r="B468" s="7"/>
      <c r="D468" s="7"/>
      <c r="E468" s="30"/>
      <c r="F468" s="30"/>
    </row>
    <row r="469">
      <c r="B469" s="7"/>
      <c r="D469" s="7"/>
      <c r="E469" s="30"/>
      <c r="F469" s="30"/>
    </row>
    <row r="470">
      <c r="B470" s="7"/>
      <c r="D470" s="7"/>
      <c r="E470" s="30"/>
      <c r="F470" s="30"/>
    </row>
    <row r="471">
      <c r="B471" s="7"/>
      <c r="D471" s="7"/>
      <c r="E471" s="30"/>
      <c r="F471" s="30"/>
    </row>
    <row r="472">
      <c r="B472" s="7"/>
      <c r="D472" s="7"/>
      <c r="E472" s="30"/>
      <c r="F472" s="30"/>
    </row>
    <row r="473">
      <c r="B473" s="7"/>
      <c r="D473" s="7"/>
      <c r="E473" s="30"/>
      <c r="F473" s="30"/>
    </row>
    <row r="474">
      <c r="B474" s="7"/>
      <c r="D474" s="7"/>
      <c r="E474" s="30"/>
      <c r="F474" s="30"/>
    </row>
    <row r="475">
      <c r="B475" s="7"/>
      <c r="D475" s="7"/>
      <c r="E475" s="30"/>
      <c r="F475" s="30"/>
    </row>
    <row r="476">
      <c r="B476" s="7"/>
      <c r="D476" s="7"/>
      <c r="E476" s="30"/>
      <c r="F476" s="30"/>
    </row>
    <row r="477">
      <c r="B477" s="7"/>
      <c r="D477" s="7"/>
      <c r="E477" s="30"/>
      <c r="F477" s="30"/>
    </row>
    <row r="478">
      <c r="B478" s="7"/>
      <c r="D478" s="7"/>
      <c r="E478" s="30"/>
      <c r="F478" s="30"/>
    </row>
    <row r="479">
      <c r="B479" s="7"/>
      <c r="D479" s="7"/>
      <c r="E479" s="30"/>
      <c r="F479" s="30"/>
    </row>
    <row r="480">
      <c r="B480" s="7"/>
      <c r="D480" s="7"/>
      <c r="E480" s="30"/>
      <c r="F480" s="30"/>
    </row>
    <row r="481">
      <c r="B481" s="7"/>
      <c r="D481" s="7"/>
      <c r="E481" s="30"/>
      <c r="F481" s="30"/>
    </row>
    <row r="482">
      <c r="B482" s="7"/>
      <c r="D482" s="7"/>
      <c r="E482" s="30"/>
      <c r="F482" s="30"/>
    </row>
    <row r="483">
      <c r="B483" s="7"/>
      <c r="D483" s="7"/>
      <c r="E483" s="30"/>
      <c r="F483" s="30"/>
    </row>
    <row r="484">
      <c r="B484" s="7"/>
      <c r="D484" s="7"/>
      <c r="E484" s="30"/>
      <c r="F484" s="30"/>
    </row>
    <row r="485">
      <c r="B485" s="7"/>
      <c r="D485" s="7"/>
      <c r="E485" s="30"/>
      <c r="F485" s="30"/>
    </row>
    <row r="486">
      <c r="B486" s="7"/>
      <c r="D486" s="7"/>
      <c r="E486" s="30"/>
      <c r="F486" s="30"/>
    </row>
    <row r="487">
      <c r="B487" s="7"/>
      <c r="D487" s="7"/>
      <c r="E487" s="30"/>
      <c r="F487" s="30"/>
    </row>
    <row r="488">
      <c r="B488" s="7"/>
      <c r="D488" s="7"/>
      <c r="E488" s="30"/>
      <c r="F488" s="30"/>
    </row>
    <row r="489">
      <c r="B489" s="7"/>
      <c r="D489" s="7"/>
      <c r="E489" s="30"/>
      <c r="F489" s="30"/>
    </row>
    <row r="490">
      <c r="B490" s="7"/>
      <c r="D490" s="7"/>
      <c r="E490" s="30"/>
      <c r="F490" s="30"/>
    </row>
    <row r="491">
      <c r="B491" s="7"/>
      <c r="D491" s="7"/>
      <c r="E491" s="30"/>
      <c r="F491" s="30"/>
    </row>
    <row r="492">
      <c r="B492" s="7"/>
      <c r="D492" s="7"/>
      <c r="E492" s="30"/>
      <c r="F492" s="30"/>
    </row>
    <row r="493">
      <c r="B493" s="7"/>
      <c r="D493" s="7"/>
      <c r="E493" s="30"/>
      <c r="F493" s="30"/>
    </row>
    <row r="494">
      <c r="B494" s="7"/>
      <c r="D494" s="7"/>
      <c r="E494" s="30"/>
      <c r="F494" s="30"/>
    </row>
    <row r="495">
      <c r="B495" s="7"/>
      <c r="D495" s="7"/>
      <c r="E495" s="30"/>
      <c r="F495" s="30"/>
    </row>
    <row r="496">
      <c r="B496" s="7"/>
      <c r="D496" s="7"/>
      <c r="E496" s="30"/>
      <c r="F496" s="30"/>
    </row>
    <row r="497">
      <c r="B497" s="7"/>
      <c r="D497" s="7"/>
      <c r="E497" s="30"/>
      <c r="F497" s="30"/>
    </row>
    <row r="498">
      <c r="B498" s="7"/>
      <c r="D498" s="7"/>
      <c r="E498" s="30"/>
      <c r="F498" s="30"/>
    </row>
    <row r="499">
      <c r="B499" s="7"/>
      <c r="D499" s="7"/>
      <c r="E499" s="30"/>
      <c r="F499" s="30"/>
    </row>
    <row r="500">
      <c r="B500" s="7"/>
      <c r="D500" s="7"/>
      <c r="E500" s="30"/>
      <c r="F500" s="30"/>
    </row>
    <row r="501">
      <c r="B501" s="7"/>
      <c r="D501" s="7"/>
      <c r="E501" s="30"/>
      <c r="F501" s="30"/>
    </row>
    <row r="502">
      <c r="B502" s="7"/>
      <c r="D502" s="7"/>
      <c r="E502" s="30"/>
      <c r="F502" s="30"/>
    </row>
    <row r="503">
      <c r="B503" s="7"/>
      <c r="D503" s="7"/>
      <c r="E503" s="30"/>
      <c r="F503" s="30"/>
    </row>
    <row r="504">
      <c r="B504" s="7"/>
      <c r="D504" s="7"/>
      <c r="E504" s="30"/>
      <c r="F504" s="30"/>
    </row>
    <row r="505">
      <c r="B505" s="7"/>
      <c r="D505" s="7"/>
      <c r="E505" s="30"/>
      <c r="F505" s="30"/>
    </row>
    <row r="506">
      <c r="B506" s="7"/>
      <c r="D506" s="7"/>
      <c r="E506" s="30"/>
      <c r="F506" s="30"/>
    </row>
    <row r="507">
      <c r="B507" s="7"/>
      <c r="D507" s="7"/>
      <c r="E507" s="30"/>
      <c r="F507" s="30"/>
    </row>
    <row r="508">
      <c r="B508" s="7"/>
      <c r="D508" s="7"/>
      <c r="E508" s="30"/>
      <c r="F508" s="30"/>
    </row>
    <row r="509">
      <c r="B509" s="7"/>
      <c r="D509" s="7"/>
      <c r="E509" s="30"/>
      <c r="F509" s="30"/>
    </row>
    <row r="510">
      <c r="B510" s="7"/>
      <c r="D510" s="7"/>
      <c r="E510" s="30"/>
      <c r="F510" s="30"/>
    </row>
    <row r="511">
      <c r="B511" s="7"/>
      <c r="D511" s="7"/>
      <c r="E511" s="30"/>
      <c r="F511" s="30"/>
    </row>
    <row r="512">
      <c r="B512" s="7"/>
      <c r="D512" s="7"/>
      <c r="E512" s="30"/>
      <c r="F512" s="30"/>
    </row>
    <row r="513">
      <c r="B513" s="7"/>
      <c r="D513" s="7"/>
      <c r="E513" s="30"/>
      <c r="F513" s="30"/>
    </row>
    <row r="514">
      <c r="B514" s="7"/>
      <c r="D514" s="7"/>
      <c r="E514" s="30"/>
      <c r="F514" s="30"/>
    </row>
    <row r="515">
      <c r="B515" s="7"/>
      <c r="D515" s="7"/>
      <c r="E515" s="30"/>
      <c r="F515" s="30"/>
    </row>
    <row r="516">
      <c r="B516" s="7"/>
      <c r="D516" s="7"/>
      <c r="E516" s="30"/>
      <c r="F516" s="30"/>
    </row>
    <row r="517">
      <c r="B517" s="7"/>
      <c r="D517" s="7"/>
      <c r="E517" s="30"/>
      <c r="F517" s="30"/>
    </row>
    <row r="518">
      <c r="B518" s="7"/>
      <c r="D518" s="7"/>
      <c r="E518" s="30"/>
      <c r="F518" s="30"/>
    </row>
    <row r="519">
      <c r="B519" s="7"/>
      <c r="D519" s="7"/>
      <c r="E519" s="30"/>
      <c r="F519" s="30"/>
    </row>
    <row r="520">
      <c r="B520" s="7"/>
      <c r="D520" s="7"/>
      <c r="E520" s="30"/>
      <c r="F520" s="30"/>
    </row>
    <row r="521">
      <c r="B521" s="7"/>
      <c r="D521" s="7"/>
      <c r="E521" s="30"/>
      <c r="F521" s="30"/>
    </row>
    <row r="522">
      <c r="B522" s="7"/>
      <c r="D522" s="7"/>
      <c r="E522" s="30"/>
      <c r="F522" s="30"/>
    </row>
    <row r="523">
      <c r="B523" s="7"/>
      <c r="D523" s="7"/>
      <c r="E523" s="30"/>
      <c r="F523" s="30"/>
    </row>
    <row r="524">
      <c r="B524" s="7"/>
      <c r="D524" s="7"/>
      <c r="E524" s="30"/>
      <c r="F524" s="30"/>
    </row>
    <row r="525">
      <c r="B525" s="7"/>
      <c r="D525" s="7"/>
      <c r="E525" s="30"/>
      <c r="F525" s="30"/>
    </row>
    <row r="526">
      <c r="B526" s="7"/>
      <c r="D526" s="7"/>
      <c r="E526" s="30"/>
      <c r="F526" s="30"/>
    </row>
    <row r="527">
      <c r="B527" s="7"/>
      <c r="D527" s="7"/>
      <c r="E527" s="30"/>
      <c r="F527" s="30"/>
    </row>
    <row r="528">
      <c r="B528" s="7"/>
      <c r="D528" s="7"/>
      <c r="E528" s="30"/>
      <c r="F528" s="30"/>
    </row>
    <row r="529">
      <c r="B529" s="7"/>
      <c r="D529" s="7"/>
      <c r="E529" s="30"/>
      <c r="F529" s="30"/>
    </row>
    <row r="530">
      <c r="B530" s="7"/>
      <c r="D530" s="7"/>
      <c r="E530" s="30"/>
      <c r="F530" s="30"/>
    </row>
    <row r="531">
      <c r="B531" s="7"/>
      <c r="D531" s="7"/>
      <c r="E531" s="30"/>
      <c r="F531" s="30"/>
    </row>
    <row r="532">
      <c r="B532" s="7"/>
      <c r="D532" s="7"/>
      <c r="E532" s="30"/>
      <c r="F532" s="30"/>
    </row>
    <row r="533">
      <c r="B533" s="7"/>
      <c r="D533" s="7"/>
      <c r="E533" s="30"/>
      <c r="F533" s="30"/>
    </row>
    <row r="534">
      <c r="B534" s="7"/>
      <c r="D534" s="7"/>
      <c r="E534" s="30"/>
      <c r="F534" s="30"/>
    </row>
    <row r="535">
      <c r="B535" s="7"/>
      <c r="D535" s="7"/>
      <c r="E535" s="30"/>
      <c r="F535" s="30"/>
    </row>
    <row r="536">
      <c r="B536" s="7"/>
      <c r="D536" s="7"/>
      <c r="E536" s="30"/>
      <c r="F536" s="30"/>
    </row>
    <row r="537">
      <c r="B537" s="7"/>
      <c r="D537" s="7"/>
      <c r="E537" s="30"/>
      <c r="F537" s="30"/>
    </row>
    <row r="538">
      <c r="B538" s="7"/>
      <c r="D538" s="7"/>
      <c r="E538" s="30"/>
      <c r="F538" s="30"/>
    </row>
    <row r="539">
      <c r="B539" s="7"/>
      <c r="D539" s="7"/>
      <c r="E539" s="30"/>
      <c r="F539" s="30"/>
    </row>
    <row r="540">
      <c r="B540" s="7"/>
      <c r="D540" s="7"/>
      <c r="E540" s="30"/>
      <c r="F540" s="30"/>
    </row>
    <row r="541">
      <c r="B541" s="7"/>
      <c r="D541" s="7"/>
      <c r="E541" s="30"/>
      <c r="F541" s="30"/>
    </row>
    <row r="542">
      <c r="B542" s="7"/>
      <c r="D542" s="7"/>
      <c r="E542" s="30"/>
      <c r="F542" s="30"/>
    </row>
    <row r="543">
      <c r="B543" s="7"/>
      <c r="D543" s="7"/>
      <c r="E543" s="30"/>
      <c r="F543" s="30"/>
    </row>
    <row r="544">
      <c r="B544" s="7"/>
      <c r="D544" s="7"/>
      <c r="E544" s="30"/>
      <c r="F544" s="30"/>
    </row>
    <row r="545">
      <c r="B545" s="7"/>
      <c r="D545" s="7"/>
      <c r="E545" s="30"/>
      <c r="F545" s="30"/>
    </row>
    <row r="546">
      <c r="B546" s="7"/>
      <c r="D546" s="7"/>
      <c r="E546" s="30"/>
      <c r="F546" s="30"/>
    </row>
    <row r="547">
      <c r="B547" s="7"/>
      <c r="D547" s="7"/>
      <c r="E547" s="30"/>
      <c r="F547" s="30"/>
    </row>
    <row r="548">
      <c r="B548" s="7"/>
      <c r="D548" s="7"/>
      <c r="E548" s="30"/>
      <c r="F548" s="30"/>
    </row>
    <row r="549">
      <c r="B549" s="7"/>
      <c r="D549" s="7"/>
      <c r="E549" s="30"/>
      <c r="F549" s="30"/>
    </row>
    <row r="550">
      <c r="B550" s="7"/>
      <c r="D550" s="7"/>
      <c r="E550" s="30"/>
      <c r="F550" s="30"/>
    </row>
    <row r="551">
      <c r="B551" s="7"/>
      <c r="D551" s="7"/>
      <c r="E551" s="30"/>
      <c r="F551" s="30"/>
    </row>
    <row r="552">
      <c r="B552" s="7"/>
      <c r="D552" s="7"/>
      <c r="E552" s="30"/>
      <c r="F552" s="30"/>
    </row>
    <row r="553">
      <c r="B553" s="7"/>
      <c r="D553" s="7"/>
      <c r="E553" s="30"/>
      <c r="F553" s="30"/>
    </row>
    <row r="554">
      <c r="B554" s="7"/>
      <c r="D554" s="7"/>
      <c r="E554" s="30"/>
      <c r="F554" s="30"/>
    </row>
    <row r="555">
      <c r="B555" s="7"/>
      <c r="D555" s="7"/>
      <c r="E555" s="30"/>
      <c r="F555" s="30"/>
    </row>
    <row r="556">
      <c r="B556" s="7"/>
      <c r="D556" s="7"/>
      <c r="E556" s="30"/>
      <c r="F556" s="30"/>
    </row>
    <row r="557">
      <c r="B557" s="7"/>
      <c r="D557" s="7"/>
      <c r="E557" s="30"/>
      <c r="F557" s="30"/>
    </row>
    <row r="558">
      <c r="B558" s="7"/>
      <c r="D558" s="7"/>
      <c r="E558" s="30"/>
      <c r="F558" s="30"/>
    </row>
    <row r="559">
      <c r="B559" s="7"/>
      <c r="D559" s="7"/>
      <c r="E559" s="30"/>
      <c r="F559" s="30"/>
    </row>
    <row r="560">
      <c r="B560" s="7"/>
      <c r="D560" s="7"/>
      <c r="E560" s="30"/>
      <c r="F560" s="30"/>
    </row>
    <row r="561">
      <c r="B561" s="7"/>
      <c r="D561" s="7"/>
      <c r="E561" s="30"/>
      <c r="F561" s="30"/>
    </row>
    <row r="562">
      <c r="B562" s="7"/>
      <c r="D562" s="7"/>
      <c r="E562" s="30"/>
      <c r="F562" s="30"/>
    </row>
    <row r="563">
      <c r="B563" s="7"/>
      <c r="D563" s="7"/>
      <c r="E563" s="30"/>
      <c r="F563" s="30"/>
    </row>
    <row r="564">
      <c r="B564" s="7"/>
      <c r="D564" s="7"/>
      <c r="E564" s="30"/>
      <c r="F564" s="30"/>
    </row>
    <row r="565">
      <c r="B565" s="7"/>
      <c r="D565" s="7"/>
      <c r="E565" s="30"/>
      <c r="F565" s="30"/>
    </row>
    <row r="566">
      <c r="B566" s="7"/>
      <c r="D566" s="7"/>
      <c r="E566" s="30"/>
      <c r="F566" s="30"/>
    </row>
    <row r="567">
      <c r="B567" s="7"/>
      <c r="D567" s="7"/>
      <c r="E567" s="30"/>
      <c r="F567" s="30"/>
    </row>
    <row r="568">
      <c r="B568" s="7"/>
      <c r="D568" s="7"/>
      <c r="E568" s="30"/>
      <c r="F568" s="30"/>
    </row>
    <row r="569">
      <c r="B569" s="7"/>
      <c r="D569" s="7"/>
      <c r="E569" s="30"/>
      <c r="F569" s="30"/>
    </row>
    <row r="570">
      <c r="B570" s="7"/>
      <c r="D570" s="7"/>
      <c r="E570" s="30"/>
      <c r="F570" s="30"/>
    </row>
    <row r="571">
      <c r="B571" s="7"/>
      <c r="D571" s="7"/>
      <c r="E571" s="30"/>
      <c r="F571" s="30"/>
    </row>
    <row r="572">
      <c r="B572" s="7"/>
      <c r="D572" s="7"/>
      <c r="E572" s="30"/>
      <c r="F572" s="30"/>
    </row>
    <row r="573">
      <c r="B573" s="7"/>
      <c r="D573" s="7"/>
      <c r="E573" s="30"/>
      <c r="F573" s="30"/>
    </row>
    <row r="574">
      <c r="B574" s="7"/>
      <c r="D574" s="7"/>
      <c r="E574" s="30"/>
      <c r="F574" s="30"/>
    </row>
    <row r="575">
      <c r="B575" s="7"/>
      <c r="D575" s="7"/>
      <c r="E575" s="30"/>
      <c r="F575" s="30"/>
    </row>
    <row r="576">
      <c r="B576" s="7"/>
      <c r="D576" s="7"/>
      <c r="E576" s="30"/>
      <c r="F576" s="30"/>
    </row>
    <row r="577">
      <c r="B577" s="7"/>
      <c r="D577" s="7"/>
      <c r="E577" s="30"/>
      <c r="F577" s="30"/>
    </row>
    <row r="578">
      <c r="B578" s="7"/>
      <c r="D578" s="7"/>
      <c r="E578" s="30"/>
      <c r="F578" s="30"/>
    </row>
    <row r="579">
      <c r="B579" s="7"/>
      <c r="D579" s="7"/>
      <c r="E579" s="30"/>
      <c r="F579" s="30"/>
    </row>
    <row r="580">
      <c r="B580" s="7"/>
      <c r="D580" s="7"/>
      <c r="E580" s="30"/>
      <c r="F580" s="30"/>
    </row>
    <row r="581">
      <c r="B581" s="7"/>
      <c r="D581" s="7"/>
      <c r="E581" s="30"/>
      <c r="F581" s="30"/>
    </row>
    <row r="582">
      <c r="B582" s="7"/>
      <c r="D582" s="7"/>
      <c r="E582" s="30"/>
      <c r="F582" s="30"/>
    </row>
    <row r="583">
      <c r="B583" s="7"/>
      <c r="D583" s="7"/>
      <c r="E583" s="30"/>
      <c r="F583" s="30"/>
    </row>
    <row r="584">
      <c r="B584" s="7"/>
      <c r="D584" s="7"/>
      <c r="E584" s="30"/>
      <c r="F584" s="30"/>
    </row>
    <row r="585">
      <c r="B585" s="7"/>
      <c r="D585" s="7"/>
      <c r="E585" s="30"/>
      <c r="F585" s="30"/>
    </row>
    <row r="586">
      <c r="B586" s="7"/>
      <c r="D586" s="7"/>
      <c r="E586" s="30"/>
      <c r="F586" s="30"/>
    </row>
    <row r="587">
      <c r="B587" s="7"/>
      <c r="D587" s="7"/>
      <c r="E587" s="30"/>
      <c r="F587" s="30"/>
    </row>
    <row r="588">
      <c r="B588" s="7"/>
      <c r="D588" s="7"/>
      <c r="E588" s="30"/>
      <c r="F588" s="30"/>
    </row>
    <row r="589">
      <c r="B589" s="7"/>
      <c r="D589" s="7"/>
      <c r="E589" s="30"/>
      <c r="F589" s="30"/>
    </row>
    <row r="590">
      <c r="B590" s="7"/>
      <c r="D590" s="7"/>
      <c r="E590" s="30"/>
      <c r="F590" s="30"/>
    </row>
    <row r="591">
      <c r="B591" s="7"/>
      <c r="D591" s="7"/>
      <c r="E591" s="30"/>
      <c r="F591" s="30"/>
    </row>
    <row r="592">
      <c r="B592" s="7"/>
      <c r="D592" s="7"/>
      <c r="E592" s="30"/>
      <c r="F592" s="30"/>
    </row>
    <row r="593">
      <c r="B593" s="7"/>
      <c r="D593" s="7"/>
      <c r="E593" s="30"/>
      <c r="F593" s="30"/>
    </row>
    <row r="594">
      <c r="B594" s="7"/>
      <c r="D594" s="7"/>
      <c r="E594" s="30"/>
      <c r="F594" s="30"/>
    </row>
    <row r="595">
      <c r="B595" s="7"/>
      <c r="D595" s="7"/>
      <c r="E595" s="30"/>
      <c r="F595" s="30"/>
    </row>
    <row r="596">
      <c r="B596" s="7"/>
      <c r="D596" s="7"/>
      <c r="E596" s="30"/>
      <c r="F596" s="30"/>
    </row>
    <row r="597">
      <c r="B597" s="7"/>
      <c r="D597" s="7"/>
      <c r="E597" s="30"/>
      <c r="F597" s="30"/>
    </row>
    <row r="598">
      <c r="B598" s="7"/>
      <c r="D598" s="7"/>
      <c r="E598" s="30"/>
      <c r="F598" s="30"/>
    </row>
    <row r="599">
      <c r="B599" s="7"/>
      <c r="D599" s="7"/>
      <c r="E599" s="30"/>
      <c r="F599" s="30"/>
    </row>
    <row r="600">
      <c r="B600" s="7"/>
      <c r="D600" s="7"/>
      <c r="E600" s="30"/>
      <c r="F600" s="30"/>
    </row>
    <row r="601">
      <c r="B601" s="7"/>
      <c r="D601" s="7"/>
      <c r="E601" s="30"/>
      <c r="F601" s="30"/>
    </row>
    <row r="602">
      <c r="B602" s="7"/>
      <c r="D602" s="7"/>
      <c r="E602" s="30"/>
      <c r="F602" s="30"/>
    </row>
    <row r="603">
      <c r="B603" s="7"/>
      <c r="D603" s="7"/>
      <c r="E603" s="30"/>
      <c r="F603" s="30"/>
    </row>
    <row r="604">
      <c r="B604" s="7"/>
      <c r="D604" s="7"/>
      <c r="E604" s="30"/>
      <c r="F604" s="30"/>
    </row>
    <row r="605">
      <c r="B605" s="7"/>
      <c r="D605" s="7"/>
      <c r="E605" s="30"/>
      <c r="F605" s="30"/>
    </row>
    <row r="606">
      <c r="B606" s="7"/>
      <c r="D606" s="7"/>
      <c r="E606" s="30"/>
      <c r="F606" s="30"/>
    </row>
    <row r="607">
      <c r="B607" s="7"/>
      <c r="D607" s="7"/>
      <c r="E607" s="30"/>
      <c r="F607" s="30"/>
    </row>
    <row r="608">
      <c r="B608" s="7"/>
      <c r="D608" s="7"/>
      <c r="E608" s="30"/>
      <c r="F608" s="30"/>
    </row>
    <row r="609">
      <c r="B609" s="7"/>
      <c r="D609" s="7"/>
      <c r="E609" s="30"/>
      <c r="F609" s="30"/>
    </row>
    <row r="610">
      <c r="B610" s="7"/>
      <c r="D610" s="7"/>
      <c r="E610" s="30"/>
      <c r="F610" s="30"/>
    </row>
    <row r="611">
      <c r="B611" s="7"/>
      <c r="D611" s="7"/>
      <c r="E611" s="30"/>
      <c r="F611" s="30"/>
    </row>
    <row r="612">
      <c r="B612" s="7"/>
      <c r="D612" s="7"/>
      <c r="E612" s="30"/>
      <c r="F612" s="30"/>
    </row>
    <row r="613">
      <c r="B613" s="7"/>
      <c r="D613" s="7"/>
      <c r="E613" s="30"/>
      <c r="F613" s="30"/>
    </row>
    <row r="614">
      <c r="B614" s="7"/>
      <c r="D614" s="7"/>
      <c r="E614" s="30"/>
      <c r="F614" s="30"/>
    </row>
    <row r="615">
      <c r="B615" s="7"/>
      <c r="D615" s="7"/>
      <c r="E615" s="30"/>
      <c r="F615" s="30"/>
    </row>
    <row r="616">
      <c r="B616" s="7"/>
      <c r="D616" s="7"/>
      <c r="E616" s="30"/>
      <c r="F616" s="30"/>
    </row>
    <row r="617">
      <c r="B617" s="7"/>
      <c r="D617" s="7"/>
      <c r="E617" s="30"/>
      <c r="F617" s="30"/>
    </row>
    <row r="618">
      <c r="B618" s="7"/>
      <c r="D618" s="7"/>
      <c r="E618" s="30"/>
      <c r="F618" s="30"/>
    </row>
    <row r="619">
      <c r="B619" s="7"/>
      <c r="D619" s="7"/>
      <c r="E619" s="30"/>
      <c r="F619" s="30"/>
    </row>
    <row r="620">
      <c r="B620" s="7"/>
      <c r="D620" s="7"/>
      <c r="E620" s="30"/>
      <c r="F620" s="30"/>
    </row>
    <row r="621">
      <c r="B621" s="7"/>
      <c r="D621" s="7"/>
      <c r="E621" s="30"/>
      <c r="F621" s="30"/>
    </row>
    <row r="622">
      <c r="B622" s="7"/>
      <c r="D622" s="7"/>
      <c r="E622" s="30"/>
      <c r="F622" s="30"/>
    </row>
    <row r="623">
      <c r="B623" s="7"/>
      <c r="D623" s="7"/>
      <c r="E623" s="30"/>
      <c r="F623" s="30"/>
    </row>
    <row r="624">
      <c r="B624" s="7"/>
      <c r="D624" s="7"/>
      <c r="E624" s="30"/>
      <c r="F624" s="30"/>
    </row>
    <row r="625">
      <c r="B625" s="7"/>
      <c r="D625" s="7"/>
      <c r="E625" s="30"/>
      <c r="F625" s="30"/>
    </row>
    <row r="626">
      <c r="B626" s="7"/>
      <c r="D626" s="7"/>
      <c r="E626" s="30"/>
      <c r="F626" s="30"/>
    </row>
    <row r="627">
      <c r="B627" s="7"/>
      <c r="D627" s="7"/>
      <c r="E627" s="30"/>
      <c r="F627" s="30"/>
    </row>
    <row r="628">
      <c r="B628" s="7"/>
      <c r="D628" s="7"/>
      <c r="E628" s="30"/>
      <c r="F628" s="30"/>
    </row>
    <row r="629">
      <c r="B629" s="7"/>
      <c r="D629" s="7"/>
      <c r="E629" s="30"/>
      <c r="F629" s="30"/>
    </row>
    <row r="630">
      <c r="B630" s="7"/>
      <c r="D630" s="7"/>
      <c r="E630" s="30"/>
      <c r="F630" s="30"/>
    </row>
    <row r="631">
      <c r="B631" s="7"/>
      <c r="D631" s="7"/>
      <c r="E631" s="30"/>
      <c r="F631" s="30"/>
    </row>
    <row r="632">
      <c r="B632" s="7"/>
      <c r="D632" s="7"/>
      <c r="E632" s="30"/>
      <c r="F632" s="30"/>
    </row>
    <row r="633">
      <c r="B633" s="7"/>
      <c r="D633" s="7"/>
      <c r="E633" s="30"/>
      <c r="F633" s="30"/>
    </row>
    <row r="634">
      <c r="B634" s="7"/>
      <c r="D634" s="7"/>
      <c r="E634" s="30"/>
      <c r="F634" s="30"/>
    </row>
    <row r="635">
      <c r="B635" s="7"/>
      <c r="D635" s="7"/>
      <c r="E635" s="30"/>
      <c r="F635" s="30"/>
    </row>
    <row r="636">
      <c r="B636" s="7"/>
      <c r="D636" s="7"/>
      <c r="E636" s="30"/>
      <c r="F636" s="30"/>
    </row>
    <row r="637">
      <c r="B637" s="7"/>
      <c r="D637" s="7"/>
      <c r="E637" s="30"/>
      <c r="F637" s="30"/>
    </row>
    <row r="638">
      <c r="B638" s="7"/>
      <c r="D638" s="7"/>
      <c r="E638" s="30"/>
      <c r="F638" s="30"/>
    </row>
    <row r="639">
      <c r="B639" s="7"/>
      <c r="D639" s="7"/>
      <c r="E639" s="30"/>
      <c r="F639" s="30"/>
    </row>
    <row r="640">
      <c r="B640" s="7"/>
      <c r="D640" s="7"/>
      <c r="E640" s="30"/>
      <c r="F640" s="30"/>
    </row>
    <row r="641">
      <c r="B641" s="7"/>
      <c r="D641" s="7"/>
      <c r="E641" s="30"/>
      <c r="F641" s="30"/>
    </row>
    <row r="642">
      <c r="B642" s="7"/>
      <c r="D642" s="7"/>
      <c r="E642" s="30"/>
      <c r="F642" s="30"/>
    </row>
    <row r="643">
      <c r="B643" s="7"/>
      <c r="D643" s="7"/>
      <c r="E643" s="30"/>
      <c r="F643" s="30"/>
    </row>
    <row r="644">
      <c r="B644" s="7"/>
      <c r="D644" s="7"/>
      <c r="E644" s="30"/>
      <c r="F644" s="30"/>
    </row>
    <row r="645">
      <c r="B645" s="7"/>
      <c r="D645" s="7"/>
      <c r="E645" s="30"/>
      <c r="F645" s="30"/>
    </row>
    <row r="646">
      <c r="B646" s="7"/>
      <c r="D646" s="7"/>
      <c r="E646" s="30"/>
      <c r="F646" s="30"/>
    </row>
    <row r="647">
      <c r="B647" s="7"/>
      <c r="D647" s="7"/>
      <c r="E647" s="30"/>
      <c r="F647" s="30"/>
    </row>
    <row r="648">
      <c r="B648" s="7"/>
      <c r="D648" s="7"/>
      <c r="E648" s="30"/>
      <c r="F648" s="30"/>
    </row>
    <row r="649">
      <c r="B649" s="7"/>
      <c r="D649" s="7"/>
      <c r="E649" s="30"/>
      <c r="F649" s="30"/>
    </row>
    <row r="650">
      <c r="B650" s="7"/>
      <c r="D650" s="7"/>
      <c r="E650" s="30"/>
      <c r="F650" s="30"/>
    </row>
    <row r="651">
      <c r="B651" s="7"/>
      <c r="D651" s="7"/>
      <c r="E651" s="30"/>
      <c r="F651" s="30"/>
    </row>
    <row r="652">
      <c r="B652" s="7"/>
      <c r="D652" s="7"/>
      <c r="E652" s="30"/>
      <c r="F652" s="30"/>
    </row>
    <row r="653">
      <c r="B653" s="7"/>
      <c r="D653" s="7"/>
      <c r="E653" s="30"/>
      <c r="F653" s="30"/>
    </row>
    <row r="654">
      <c r="B654" s="7"/>
      <c r="D654" s="7"/>
      <c r="E654" s="30"/>
      <c r="F654" s="30"/>
    </row>
    <row r="655">
      <c r="B655" s="7"/>
      <c r="D655" s="7"/>
      <c r="E655" s="30"/>
      <c r="F655" s="30"/>
    </row>
    <row r="656">
      <c r="B656" s="7"/>
      <c r="D656" s="7"/>
      <c r="E656" s="30"/>
      <c r="F656" s="30"/>
    </row>
    <row r="657">
      <c r="B657" s="7"/>
      <c r="D657" s="7"/>
      <c r="E657" s="30"/>
      <c r="F657" s="30"/>
    </row>
    <row r="658">
      <c r="B658" s="7"/>
      <c r="D658" s="7"/>
      <c r="E658" s="30"/>
      <c r="F658" s="30"/>
    </row>
    <row r="659">
      <c r="B659" s="7"/>
      <c r="D659" s="7"/>
      <c r="E659" s="30"/>
      <c r="F659" s="30"/>
    </row>
    <row r="660">
      <c r="B660" s="7"/>
      <c r="D660" s="7"/>
      <c r="E660" s="30"/>
      <c r="F660" s="30"/>
    </row>
    <row r="661">
      <c r="B661" s="7"/>
      <c r="D661" s="7"/>
      <c r="E661" s="30"/>
      <c r="F661" s="30"/>
    </row>
    <row r="662">
      <c r="B662" s="7"/>
      <c r="D662" s="7"/>
      <c r="E662" s="30"/>
      <c r="F662" s="30"/>
    </row>
    <row r="663">
      <c r="B663" s="7"/>
      <c r="D663" s="7"/>
      <c r="E663" s="30"/>
      <c r="F663" s="30"/>
    </row>
    <row r="664">
      <c r="B664" s="7"/>
      <c r="D664" s="7"/>
      <c r="E664" s="30"/>
      <c r="F664" s="30"/>
    </row>
    <row r="665">
      <c r="B665" s="7"/>
      <c r="D665" s="7"/>
      <c r="E665" s="30"/>
      <c r="F665" s="30"/>
    </row>
    <row r="666">
      <c r="B666" s="7"/>
      <c r="D666" s="7"/>
      <c r="E666" s="30"/>
      <c r="F666" s="30"/>
    </row>
    <row r="667">
      <c r="B667" s="7"/>
      <c r="D667" s="7"/>
      <c r="E667" s="30"/>
      <c r="F667" s="30"/>
    </row>
    <row r="668">
      <c r="B668" s="7"/>
      <c r="D668" s="7"/>
      <c r="E668" s="30"/>
      <c r="F668" s="30"/>
    </row>
    <row r="669">
      <c r="B669" s="7"/>
      <c r="D669" s="7"/>
      <c r="E669" s="30"/>
      <c r="F669" s="30"/>
    </row>
    <row r="670">
      <c r="B670" s="7"/>
      <c r="D670" s="7"/>
      <c r="E670" s="30"/>
      <c r="F670" s="30"/>
    </row>
    <row r="671">
      <c r="B671" s="7"/>
      <c r="D671" s="7"/>
      <c r="E671" s="30"/>
      <c r="F671" s="30"/>
    </row>
    <row r="672">
      <c r="B672" s="7"/>
      <c r="D672" s="7"/>
      <c r="E672" s="30"/>
      <c r="F672" s="30"/>
    </row>
    <row r="673">
      <c r="B673" s="7"/>
      <c r="D673" s="7"/>
      <c r="E673" s="30"/>
      <c r="F673" s="30"/>
    </row>
    <row r="674">
      <c r="B674" s="7"/>
      <c r="D674" s="7"/>
      <c r="E674" s="30"/>
      <c r="F674" s="30"/>
    </row>
    <row r="675">
      <c r="B675" s="7"/>
      <c r="D675" s="7"/>
      <c r="E675" s="30"/>
      <c r="F675" s="30"/>
    </row>
    <row r="676">
      <c r="B676" s="7"/>
      <c r="D676" s="7"/>
      <c r="E676" s="30"/>
      <c r="F676" s="30"/>
    </row>
    <row r="677">
      <c r="B677" s="7"/>
      <c r="D677" s="7"/>
      <c r="E677" s="30"/>
      <c r="F677" s="30"/>
    </row>
    <row r="678">
      <c r="B678" s="7"/>
      <c r="D678" s="7"/>
      <c r="E678" s="30"/>
      <c r="F678" s="30"/>
    </row>
    <row r="679">
      <c r="B679" s="7"/>
      <c r="D679" s="7"/>
      <c r="E679" s="30"/>
      <c r="F679" s="30"/>
    </row>
    <row r="680">
      <c r="B680" s="7"/>
      <c r="D680" s="7"/>
      <c r="E680" s="30"/>
      <c r="F680" s="30"/>
    </row>
    <row r="681">
      <c r="B681" s="7"/>
      <c r="D681" s="7"/>
      <c r="E681" s="30"/>
      <c r="F681" s="30"/>
    </row>
    <row r="682">
      <c r="B682" s="7"/>
      <c r="D682" s="7"/>
      <c r="E682" s="30"/>
      <c r="F682" s="30"/>
    </row>
    <row r="683">
      <c r="B683" s="7"/>
      <c r="D683" s="7"/>
      <c r="E683" s="30"/>
      <c r="F683" s="30"/>
    </row>
    <row r="684">
      <c r="B684" s="7"/>
      <c r="D684" s="7"/>
      <c r="E684" s="30"/>
      <c r="F684" s="30"/>
    </row>
    <row r="685">
      <c r="B685" s="7"/>
      <c r="D685" s="7"/>
      <c r="E685" s="30"/>
      <c r="F685" s="30"/>
    </row>
    <row r="686">
      <c r="B686" s="7"/>
      <c r="D686" s="7"/>
      <c r="E686" s="30"/>
      <c r="F686" s="30"/>
    </row>
    <row r="687">
      <c r="B687" s="7"/>
      <c r="D687" s="7"/>
      <c r="E687" s="30"/>
      <c r="F687" s="30"/>
    </row>
    <row r="688">
      <c r="B688" s="7"/>
      <c r="D688" s="7"/>
      <c r="E688" s="30"/>
      <c r="F688" s="30"/>
    </row>
    <row r="689">
      <c r="B689" s="7"/>
      <c r="D689" s="7"/>
      <c r="E689" s="30"/>
      <c r="F689" s="30"/>
    </row>
    <row r="690">
      <c r="B690" s="7"/>
      <c r="D690" s="7"/>
      <c r="E690" s="30"/>
      <c r="F690" s="30"/>
    </row>
    <row r="691">
      <c r="B691" s="7"/>
      <c r="D691" s="7"/>
      <c r="E691" s="30"/>
      <c r="F691" s="30"/>
    </row>
    <row r="692">
      <c r="B692" s="7"/>
      <c r="D692" s="7"/>
      <c r="E692" s="30"/>
      <c r="F692" s="30"/>
    </row>
    <row r="693">
      <c r="B693" s="7"/>
      <c r="D693" s="7"/>
      <c r="E693" s="30"/>
      <c r="F693" s="30"/>
    </row>
    <row r="694">
      <c r="B694" s="7"/>
      <c r="D694" s="7"/>
      <c r="E694" s="30"/>
      <c r="F694" s="30"/>
    </row>
    <row r="695">
      <c r="B695" s="7"/>
      <c r="D695" s="7"/>
      <c r="E695" s="30"/>
      <c r="F695" s="30"/>
    </row>
    <row r="696">
      <c r="B696" s="7"/>
      <c r="D696" s="7"/>
      <c r="E696" s="30"/>
      <c r="F696" s="30"/>
    </row>
    <row r="697">
      <c r="B697" s="7"/>
      <c r="D697" s="7"/>
      <c r="E697" s="30"/>
      <c r="F697" s="30"/>
    </row>
    <row r="698">
      <c r="B698" s="7"/>
      <c r="D698" s="7"/>
      <c r="E698" s="30"/>
      <c r="F698" s="30"/>
    </row>
    <row r="699">
      <c r="B699" s="7"/>
      <c r="D699" s="7"/>
      <c r="E699" s="30"/>
      <c r="F699" s="30"/>
    </row>
    <row r="700">
      <c r="B700" s="7"/>
      <c r="D700" s="7"/>
      <c r="E700" s="30"/>
      <c r="F700" s="30"/>
    </row>
    <row r="701">
      <c r="B701" s="7"/>
      <c r="D701" s="7"/>
      <c r="E701" s="30"/>
      <c r="F701" s="30"/>
    </row>
    <row r="702">
      <c r="B702" s="7"/>
      <c r="D702" s="7"/>
      <c r="E702" s="30"/>
      <c r="F702" s="30"/>
    </row>
    <row r="703">
      <c r="B703" s="7"/>
      <c r="D703" s="7"/>
      <c r="E703" s="30"/>
      <c r="F703" s="30"/>
    </row>
    <row r="704">
      <c r="B704" s="7"/>
      <c r="D704" s="7"/>
      <c r="E704" s="30"/>
      <c r="F704" s="30"/>
    </row>
    <row r="705">
      <c r="B705" s="7"/>
      <c r="D705" s="7"/>
      <c r="E705" s="30"/>
      <c r="F705" s="30"/>
    </row>
    <row r="706">
      <c r="B706" s="7"/>
      <c r="D706" s="7"/>
      <c r="E706" s="30"/>
      <c r="F706" s="30"/>
    </row>
    <row r="707">
      <c r="B707" s="7"/>
      <c r="D707" s="7"/>
      <c r="E707" s="30"/>
      <c r="F707" s="30"/>
    </row>
    <row r="708">
      <c r="B708" s="7"/>
      <c r="D708" s="7"/>
      <c r="E708" s="30"/>
      <c r="F708" s="30"/>
    </row>
    <row r="709">
      <c r="B709" s="7"/>
      <c r="D709" s="7"/>
      <c r="E709" s="30"/>
      <c r="F709" s="30"/>
    </row>
    <row r="710">
      <c r="B710" s="7"/>
      <c r="D710" s="7"/>
      <c r="E710" s="30"/>
      <c r="F710" s="30"/>
    </row>
    <row r="711">
      <c r="B711" s="7"/>
      <c r="D711" s="7"/>
      <c r="E711" s="30"/>
      <c r="F711" s="30"/>
    </row>
    <row r="712">
      <c r="B712" s="7"/>
      <c r="D712" s="7"/>
      <c r="E712" s="30"/>
      <c r="F712" s="30"/>
    </row>
    <row r="713">
      <c r="B713" s="7"/>
      <c r="D713" s="7"/>
      <c r="E713" s="30"/>
      <c r="F713" s="30"/>
    </row>
    <row r="714">
      <c r="B714" s="7"/>
      <c r="D714" s="7"/>
      <c r="E714" s="30"/>
      <c r="F714" s="30"/>
    </row>
    <row r="715">
      <c r="B715" s="7"/>
      <c r="D715" s="7"/>
      <c r="E715" s="30"/>
      <c r="F715" s="30"/>
    </row>
    <row r="716">
      <c r="B716" s="7"/>
      <c r="D716" s="7"/>
      <c r="E716" s="30"/>
      <c r="F716" s="30"/>
    </row>
    <row r="717">
      <c r="B717" s="7"/>
      <c r="D717" s="7"/>
      <c r="E717" s="30"/>
      <c r="F717" s="30"/>
    </row>
    <row r="718">
      <c r="B718" s="7"/>
      <c r="D718" s="7"/>
      <c r="E718" s="30"/>
      <c r="F718" s="30"/>
    </row>
    <row r="719">
      <c r="B719" s="7"/>
      <c r="D719" s="7"/>
      <c r="E719" s="30"/>
      <c r="F719" s="30"/>
    </row>
    <row r="720">
      <c r="B720" s="7"/>
      <c r="D720" s="7"/>
      <c r="E720" s="30"/>
      <c r="F720" s="30"/>
    </row>
    <row r="721">
      <c r="B721" s="7"/>
      <c r="D721" s="7"/>
      <c r="E721" s="30"/>
      <c r="F721" s="30"/>
    </row>
    <row r="722">
      <c r="B722" s="7"/>
      <c r="D722" s="7"/>
      <c r="E722" s="30"/>
      <c r="F722" s="30"/>
    </row>
    <row r="723">
      <c r="B723" s="7"/>
      <c r="D723" s="7"/>
      <c r="E723" s="30"/>
      <c r="F723" s="30"/>
    </row>
    <row r="724">
      <c r="B724" s="7"/>
      <c r="D724" s="7"/>
      <c r="E724" s="30"/>
      <c r="F724" s="30"/>
    </row>
    <row r="725">
      <c r="B725" s="7"/>
      <c r="D725" s="7"/>
      <c r="E725" s="30"/>
      <c r="F725" s="30"/>
    </row>
    <row r="726">
      <c r="B726" s="7"/>
      <c r="D726" s="7"/>
      <c r="E726" s="30"/>
      <c r="F726" s="30"/>
    </row>
    <row r="727">
      <c r="B727" s="7"/>
      <c r="D727" s="7"/>
      <c r="E727" s="30"/>
      <c r="F727" s="30"/>
    </row>
    <row r="728">
      <c r="B728" s="7"/>
      <c r="D728" s="7"/>
      <c r="E728" s="30"/>
      <c r="F728" s="30"/>
    </row>
    <row r="729">
      <c r="B729" s="7"/>
      <c r="D729" s="7"/>
      <c r="E729" s="30"/>
      <c r="F729" s="30"/>
    </row>
    <row r="730">
      <c r="B730" s="7"/>
      <c r="D730" s="7"/>
      <c r="E730" s="30"/>
      <c r="F730" s="30"/>
    </row>
    <row r="731">
      <c r="B731" s="7"/>
      <c r="D731" s="7"/>
      <c r="E731" s="30"/>
      <c r="F731" s="30"/>
    </row>
    <row r="732">
      <c r="B732" s="7"/>
      <c r="D732" s="7"/>
      <c r="E732" s="30"/>
      <c r="F732" s="30"/>
    </row>
    <row r="733">
      <c r="B733" s="7"/>
      <c r="D733" s="7"/>
      <c r="E733" s="30"/>
      <c r="F733" s="30"/>
    </row>
    <row r="734">
      <c r="B734" s="7"/>
      <c r="D734" s="7"/>
      <c r="E734" s="30"/>
      <c r="F734" s="30"/>
    </row>
    <row r="735">
      <c r="B735" s="7"/>
      <c r="D735" s="7"/>
      <c r="E735" s="30"/>
      <c r="F735" s="30"/>
    </row>
    <row r="736">
      <c r="B736" s="7"/>
      <c r="D736" s="7"/>
      <c r="E736" s="30"/>
      <c r="F736" s="30"/>
    </row>
    <row r="737">
      <c r="B737" s="7"/>
      <c r="D737" s="7"/>
      <c r="E737" s="30"/>
      <c r="F737" s="30"/>
    </row>
    <row r="738">
      <c r="B738" s="7"/>
      <c r="D738" s="7"/>
      <c r="E738" s="30"/>
      <c r="F738" s="30"/>
    </row>
    <row r="739">
      <c r="B739" s="7"/>
      <c r="D739" s="7"/>
      <c r="E739" s="30"/>
      <c r="F739" s="30"/>
    </row>
    <row r="740">
      <c r="B740" s="7"/>
      <c r="D740" s="7"/>
      <c r="E740" s="30"/>
      <c r="F740" s="30"/>
    </row>
    <row r="741">
      <c r="B741" s="7"/>
      <c r="D741" s="7"/>
      <c r="E741" s="30"/>
      <c r="F741" s="30"/>
    </row>
    <row r="742">
      <c r="B742" s="7"/>
      <c r="D742" s="7"/>
      <c r="E742" s="30"/>
      <c r="F742" s="30"/>
    </row>
    <row r="743">
      <c r="B743" s="7"/>
      <c r="D743" s="7"/>
      <c r="E743" s="30"/>
      <c r="F743" s="30"/>
    </row>
    <row r="744">
      <c r="B744" s="7"/>
      <c r="D744" s="7"/>
      <c r="E744" s="30"/>
      <c r="F744" s="30"/>
    </row>
    <row r="745">
      <c r="B745" s="7"/>
      <c r="D745" s="7"/>
      <c r="E745" s="30"/>
      <c r="F745" s="30"/>
    </row>
    <row r="746">
      <c r="B746" s="7"/>
      <c r="D746" s="7"/>
      <c r="E746" s="30"/>
      <c r="F746" s="30"/>
    </row>
    <row r="747">
      <c r="B747" s="7"/>
      <c r="D747" s="7"/>
      <c r="E747" s="30"/>
      <c r="F747" s="30"/>
    </row>
    <row r="748">
      <c r="B748" s="7"/>
      <c r="D748" s="7"/>
      <c r="E748" s="30"/>
      <c r="F748" s="30"/>
    </row>
    <row r="749">
      <c r="B749" s="7"/>
      <c r="D749" s="7"/>
      <c r="E749" s="30"/>
      <c r="F749" s="30"/>
    </row>
    <row r="750">
      <c r="B750" s="7"/>
      <c r="D750" s="7"/>
      <c r="E750" s="30"/>
      <c r="F750" s="30"/>
    </row>
    <row r="751">
      <c r="B751" s="7"/>
      <c r="D751" s="7"/>
      <c r="E751" s="30"/>
      <c r="F751" s="30"/>
    </row>
    <row r="752">
      <c r="B752" s="7"/>
      <c r="D752" s="7"/>
      <c r="E752" s="30"/>
      <c r="F752" s="30"/>
    </row>
    <row r="753">
      <c r="B753" s="7"/>
      <c r="D753" s="7"/>
      <c r="E753" s="30"/>
      <c r="F753" s="30"/>
    </row>
    <row r="754">
      <c r="B754" s="7"/>
      <c r="D754" s="7"/>
      <c r="E754" s="30"/>
      <c r="F754" s="30"/>
    </row>
    <row r="755">
      <c r="B755" s="7"/>
      <c r="D755" s="7"/>
      <c r="E755" s="30"/>
      <c r="F755" s="30"/>
    </row>
    <row r="756">
      <c r="B756" s="7"/>
      <c r="D756" s="7"/>
      <c r="E756" s="30"/>
      <c r="F756" s="30"/>
    </row>
    <row r="757">
      <c r="B757" s="7"/>
      <c r="D757" s="7"/>
      <c r="E757" s="30"/>
      <c r="F757" s="30"/>
    </row>
    <row r="758">
      <c r="B758" s="7"/>
      <c r="D758" s="7"/>
      <c r="E758" s="30"/>
      <c r="F758" s="30"/>
    </row>
    <row r="759">
      <c r="B759" s="7"/>
      <c r="D759" s="7"/>
      <c r="E759" s="30"/>
      <c r="F759" s="30"/>
    </row>
    <row r="760">
      <c r="B760" s="7"/>
      <c r="D760" s="7"/>
      <c r="E760" s="30"/>
      <c r="F760" s="30"/>
    </row>
    <row r="761">
      <c r="B761" s="7"/>
      <c r="D761" s="7"/>
      <c r="E761" s="30"/>
      <c r="F761" s="30"/>
    </row>
    <row r="762">
      <c r="B762" s="7"/>
      <c r="D762" s="7"/>
      <c r="E762" s="30"/>
      <c r="F762" s="30"/>
    </row>
    <row r="763">
      <c r="B763" s="7"/>
      <c r="D763" s="7"/>
      <c r="E763" s="30"/>
      <c r="F763" s="30"/>
    </row>
    <row r="764">
      <c r="B764" s="7"/>
      <c r="D764" s="7"/>
      <c r="E764" s="30"/>
      <c r="F764" s="30"/>
    </row>
    <row r="765">
      <c r="B765" s="7"/>
      <c r="D765" s="7"/>
      <c r="E765" s="30"/>
      <c r="F765" s="30"/>
    </row>
    <row r="766">
      <c r="B766" s="7"/>
      <c r="D766" s="7"/>
      <c r="E766" s="30"/>
      <c r="F766" s="30"/>
    </row>
    <row r="767">
      <c r="B767" s="7"/>
      <c r="D767" s="7"/>
      <c r="E767" s="30"/>
      <c r="F767" s="30"/>
    </row>
    <row r="768">
      <c r="B768" s="7"/>
      <c r="D768" s="7"/>
      <c r="E768" s="30"/>
      <c r="F768" s="30"/>
    </row>
    <row r="769">
      <c r="B769" s="7"/>
      <c r="D769" s="7"/>
      <c r="E769" s="30"/>
      <c r="F769" s="30"/>
    </row>
    <row r="770">
      <c r="B770" s="7"/>
      <c r="D770" s="7"/>
      <c r="E770" s="30"/>
      <c r="F770" s="30"/>
    </row>
    <row r="771">
      <c r="B771" s="7"/>
      <c r="D771" s="7"/>
      <c r="E771" s="30"/>
      <c r="F771" s="30"/>
    </row>
    <row r="772">
      <c r="B772" s="7"/>
      <c r="D772" s="7"/>
      <c r="E772" s="30"/>
      <c r="F772" s="30"/>
    </row>
    <row r="773">
      <c r="B773" s="7"/>
      <c r="D773" s="7"/>
      <c r="E773" s="30"/>
      <c r="F773" s="30"/>
    </row>
    <row r="774">
      <c r="B774" s="7"/>
      <c r="D774" s="7"/>
      <c r="E774" s="30"/>
      <c r="F774" s="30"/>
    </row>
    <row r="775">
      <c r="B775" s="7"/>
      <c r="D775" s="7"/>
      <c r="E775" s="30"/>
      <c r="F775" s="30"/>
    </row>
    <row r="776">
      <c r="B776" s="7"/>
      <c r="D776" s="7"/>
      <c r="E776" s="30"/>
      <c r="F776" s="30"/>
    </row>
    <row r="777">
      <c r="B777" s="7"/>
      <c r="D777" s="7"/>
      <c r="E777" s="30"/>
      <c r="F777" s="30"/>
    </row>
    <row r="778">
      <c r="B778" s="7"/>
      <c r="D778" s="7"/>
      <c r="E778" s="30"/>
      <c r="F778" s="30"/>
    </row>
    <row r="779">
      <c r="B779" s="7"/>
      <c r="D779" s="7"/>
      <c r="E779" s="30"/>
      <c r="F779" s="30"/>
    </row>
    <row r="780">
      <c r="B780" s="7"/>
      <c r="D780" s="7"/>
      <c r="E780" s="30"/>
      <c r="F780" s="30"/>
    </row>
    <row r="781">
      <c r="B781" s="7"/>
      <c r="D781" s="7"/>
      <c r="E781" s="30"/>
      <c r="F781" s="30"/>
    </row>
    <row r="782">
      <c r="B782" s="7"/>
      <c r="D782" s="7"/>
      <c r="E782" s="30"/>
      <c r="F782" s="30"/>
    </row>
    <row r="783">
      <c r="B783" s="7"/>
      <c r="D783" s="7"/>
      <c r="E783" s="30"/>
      <c r="F783" s="30"/>
    </row>
    <row r="784">
      <c r="B784" s="7"/>
      <c r="D784" s="7"/>
      <c r="E784" s="30"/>
      <c r="F784" s="30"/>
    </row>
    <row r="785">
      <c r="B785" s="7"/>
      <c r="D785" s="7"/>
      <c r="E785" s="30"/>
      <c r="F785" s="30"/>
    </row>
    <row r="786">
      <c r="B786" s="7"/>
      <c r="D786" s="7"/>
      <c r="E786" s="30"/>
      <c r="F786" s="30"/>
    </row>
    <row r="787">
      <c r="B787" s="7"/>
      <c r="D787" s="7"/>
      <c r="E787" s="30"/>
      <c r="F787" s="30"/>
    </row>
    <row r="788">
      <c r="B788" s="7"/>
      <c r="D788" s="7"/>
      <c r="E788" s="30"/>
      <c r="F788" s="30"/>
    </row>
    <row r="789">
      <c r="B789" s="7"/>
      <c r="D789" s="7"/>
      <c r="E789" s="30"/>
      <c r="F789" s="30"/>
    </row>
    <row r="790">
      <c r="B790" s="7"/>
      <c r="D790" s="7"/>
      <c r="E790" s="30"/>
      <c r="F790" s="30"/>
    </row>
    <row r="791">
      <c r="B791" s="7"/>
      <c r="D791" s="7"/>
      <c r="E791" s="30"/>
      <c r="F791" s="30"/>
    </row>
    <row r="792">
      <c r="B792" s="7"/>
      <c r="D792" s="7"/>
      <c r="E792" s="30"/>
      <c r="F792" s="30"/>
    </row>
    <row r="793">
      <c r="B793" s="7"/>
      <c r="D793" s="7"/>
      <c r="E793" s="30"/>
      <c r="F793" s="30"/>
    </row>
    <row r="794">
      <c r="B794" s="7"/>
      <c r="D794" s="7"/>
      <c r="E794" s="30"/>
      <c r="F794" s="30"/>
    </row>
    <row r="795">
      <c r="B795" s="7"/>
      <c r="D795" s="7"/>
      <c r="E795" s="30"/>
      <c r="F795" s="30"/>
    </row>
    <row r="796">
      <c r="B796" s="7"/>
      <c r="D796" s="7"/>
      <c r="E796" s="30"/>
      <c r="F796" s="30"/>
    </row>
    <row r="797">
      <c r="B797" s="7"/>
      <c r="D797" s="7"/>
      <c r="E797" s="30"/>
      <c r="F797" s="30"/>
    </row>
    <row r="798">
      <c r="B798" s="7"/>
      <c r="D798" s="7"/>
      <c r="E798" s="30"/>
      <c r="F798" s="30"/>
    </row>
    <row r="799">
      <c r="B799" s="7"/>
      <c r="D799" s="7"/>
      <c r="E799" s="30"/>
      <c r="F799" s="30"/>
    </row>
    <row r="800">
      <c r="B800" s="7"/>
      <c r="D800" s="7"/>
      <c r="E800" s="30"/>
      <c r="F800" s="30"/>
    </row>
    <row r="801">
      <c r="B801" s="7"/>
      <c r="D801" s="7"/>
      <c r="E801" s="30"/>
      <c r="F801" s="30"/>
    </row>
    <row r="802">
      <c r="B802" s="7"/>
      <c r="D802" s="7"/>
      <c r="E802" s="30"/>
      <c r="F802" s="30"/>
    </row>
    <row r="803">
      <c r="B803" s="7"/>
      <c r="D803" s="7"/>
      <c r="E803" s="30"/>
      <c r="F803" s="30"/>
    </row>
    <row r="804">
      <c r="B804" s="7"/>
      <c r="D804" s="7"/>
      <c r="E804" s="30"/>
      <c r="F804" s="30"/>
    </row>
    <row r="805">
      <c r="B805" s="7"/>
      <c r="D805" s="7"/>
      <c r="E805" s="30"/>
      <c r="F805" s="30"/>
    </row>
    <row r="806">
      <c r="B806" s="7"/>
      <c r="D806" s="7"/>
      <c r="E806" s="30"/>
      <c r="F806" s="30"/>
    </row>
    <row r="807">
      <c r="B807" s="7"/>
      <c r="D807" s="7"/>
      <c r="E807" s="30"/>
      <c r="F807" s="30"/>
    </row>
    <row r="808">
      <c r="B808" s="7"/>
      <c r="D808" s="7"/>
      <c r="E808" s="30"/>
      <c r="F808" s="30"/>
    </row>
    <row r="809">
      <c r="B809" s="7"/>
      <c r="D809" s="7"/>
      <c r="E809" s="30"/>
      <c r="F809" s="30"/>
    </row>
    <row r="810">
      <c r="B810" s="7"/>
      <c r="D810" s="7"/>
      <c r="E810" s="30"/>
      <c r="F810" s="30"/>
    </row>
    <row r="811">
      <c r="B811" s="7"/>
      <c r="D811" s="7"/>
      <c r="E811" s="30"/>
      <c r="F811" s="30"/>
    </row>
    <row r="812">
      <c r="B812" s="7"/>
      <c r="D812" s="7"/>
      <c r="E812" s="30"/>
      <c r="F812" s="30"/>
    </row>
    <row r="813">
      <c r="B813" s="7"/>
      <c r="D813" s="7"/>
      <c r="E813" s="30"/>
      <c r="F813" s="30"/>
    </row>
    <row r="814">
      <c r="B814" s="7"/>
      <c r="D814" s="7"/>
      <c r="E814" s="30"/>
      <c r="F814" s="30"/>
    </row>
    <row r="815">
      <c r="B815" s="7"/>
      <c r="D815" s="7"/>
      <c r="E815" s="30"/>
      <c r="F815" s="30"/>
    </row>
    <row r="816">
      <c r="B816" s="7"/>
      <c r="D816" s="7"/>
      <c r="E816" s="30"/>
      <c r="F816" s="30"/>
    </row>
    <row r="817">
      <c r="B817" s="7"/>
      <c r="D817" s="7"/>
      <c r="E817" s="30"/>
      <c r="F817" s="30"/>
    </row>
    <row r="818">
      <c r="B818" s="7"/>
      <c r="D818" s="7"/>
      <c r="E818" s="30"/>
      <c r="F818" s="30"/>
    </row>
    <row r="819">
      <c r="B819" s="7"/>
      <c r="D819" s="7"/>
      <c r="E819" s="30"/>
      <c r="F819" s="30"/>
    </row>
    <row r="820">
      <c r="B820" s="7"/>
      <c r="D820" s="7"/>
      <c r="E820" s="30"/>
      <c r="F820" s="30"/>
    </row>
    <row r="821">
      <c r="B821" s="7"/>
      <c r="D821" s="7"/>
      <c r="E821" s="30"/>
      <c r="F821" s="30"/>
    </row>
    <row r="822">
      <c r="B822" s="7"/>
      <c r="D822" s="7"/>
      <c r="E822" s="30"/>
      <c r="F822" s="30"/>
    </row>
    <row r="823">
      <c r="B823" s="7"/>
      <c r="D823" s="7"/>
      <c r="E823" s="30"/>
      <c r="F823" s="30"/>
    </row>
    <row r="824">
      <c r="B824" s="7"/>
      <c r="D824" s="7"/>
      <c r="E824" s="30"/>
      <c r="F824" s="30"/>
    </row>
    <row r="825">
      <c r="B825" s="7"/>
      <c r="D825" s="7"/>
      <c r="E825" s="30"/>
      <c r="F825" s="30"/>
    </row>
    <row r="826">
      <c r="B826" s="7"/>
      <c r="D826" s="7"/>
      <c r="E826" s="30"/>
      <c r="F826" s="30"/>
    </row>
    <row r="827">
      <c r="B827" s="7"/>
      <c r="D827" s="7"/>
      <c r="E827" s="30"/>
      <c r="F827" s="30"/>
    </row>
    <row r="828">
      <c r="B828" s="7"/>
      <c r="D828" s="7"/>
      <c r="E828" s="30"/>
      <c r="F828" s="30"/>
    </row>
    <row r="829">
      <c r="B829" s="7"/>
      <c r="D829" s="7"/>
      <c r="E829" s="30"/>
      <c r="F829" s="30"/>
    </row>
    <row r="830">
      <c r="B830" s="7"/>
      <c r="D830" s="7"/>
      <c r="E830" s="30"/>
      <c r="F830" s="30"/>
    </row>
    <row r="831">
      <c r="B831" s="7"/>
      <c r="D831" s="7"/>
      <c r="E831" s="30"/>
      <c r="F831" s="30"/>
    </row>
    <row r="832">
      <c r="B832" s="7"/>
      <c r="D832" s="7"/>
      <c r="E832" s="30"/>
      <c r="F832" s="30"/>
    </row>
    <row r="833">
      <c r="B833" s="7"/>
      <c r="D833" s="7"/>
      <c r="E833" s="30"/>
      <c r="F833" s="30"/>
    </row>
    <row r="834">
      <c r="B834" s="7"/>
      <c r="D834" s="7"/>
      <c r="E834" s="30"/>
      <c r="F834" s="30"/>
    </row>
    <row r="835">
      <c r="B835" s="7"/>
      <c r="D835" s="7"/>
      <c r="E835" s="30"/>
      <c r="F835" s="30"/>
    </row>
    <row r="836">
      <c r="B836" s="7"/>
      <c r="D836" s="7"/>
      <c r="E836" s="30"/>
      <c r="F836" s="30"/>
    </row>
    <row r="837">
      <c r="B837" s="7"/>
      <c r="D837" s="7"/>
      <c r="E837" s="30"/>
      <c r="F837" s="30"/>
    </row>
    <row r="838">
      <c r="B838" s="7"/>
      <c r="D838" s="7"/>
      <c r="E838" s="30"/>
      <c r="F838" s="30"/>
    </row>
    <row r="839">
      <c r="B839" s="7"/>
      <c r="D839" s="7"/>
      <c r="E839" s="30"/>
      <c r="F839" s="30"/>
    </row>
    <row r="840">
      <c r="B840" s="7"/>
      <c r="D840" s="7"/>
      <c r="E840" s="30"/>
      <c r="F840" s="30"/>
    </row>
    <row r="841">
      <c r="B841" s="7"/>
      <c r="D841" s="7"/>
      <c r="E841" s="30"/>
      <c r="F841" s="30"/>
    </row>
    <row r="842">
      <c r="B842" s="7"/>
      <c r="D842" s="7"/>
      <c r="E842" s="30"/>
      <c r="F842" s="30"/>
    </row>
    <row r="843">
      <c r="B843" s="7"/>
      <c r="D843" s="7"/>
      <c r="E843" s="30"/>
      <c r="F843" s="30"/>
    </row>
    <row r="844">
      <c r="B844" s="7"/>
      <c r="D844" s="7"/>
      <c r="E844" s="30"/>
      <c r="F844" s="30"/>
    </row>
    <row r="845">
      <c r="B845" s="7"/>
      <c r="D845" s="7"/>
      <c r="E845" s="30"/>
      <c r="F845" s="30"/>
    </row>
    <row r="846">
      <c r="B846" s="7"/>
      <c r="D846" s="7"/>
      <c r="E846" s="30"/>
      <c r="F846" s="30"/>
    </row>
    <row r="847">
      <c r="B847" s="7"/>
      <c r="D847" s="7"/>
      <c r="E847" s="30"/>
      <c r="F847" s="30"/>
    </row>
    <row r="848">
      <c r="B848" s="7"/>
      <c r="D848" s="7"/>
      <c r="E848" s="30"/>
      <c r="F848" s="30"/>
    </row>
    <row r="849">
      <c r="B849" s="7"/>
      <c r="D849" s="7"/>
      <c r="E849" s="30"/>
      <c r="F849" s="30"/>
    </row>
    <row r="850">
      <c r="B850" s="7"/>
      <c r="D850" s="7"/>
      <c r="E850" s="30"/>
      <c r="F850" s="30"/>
    </row>
    <row r="851">
      <c r="B851" s="7"/>
      <c r="D851" s="7"/>
      <c r="E851" s="30"/>
      <c r="F851" s="30"/>
    </row>
    <row r="852">
      <c r="B852" s="7"/>
      <c r="D852" s="7"/>
      <c r="E852" s="30"/>
      <c r="F852" s="30"/>
    </row>
    <row r="853">
      <c r="B853" s="7"/>
      <c r="D853" s="7"/>
      <c r="E853" s="30"/>
      <c r="F853" s="30"/>
    </row>
    <row r="854">
      <c r="B854" s="7"/>
      <c r="D854" s="7"/>
      <c r="E854" s="30"/>
      <c r="F854" s="30"/>
    </row>
    <row r="855">
      <c r="B855" s="7"/>
      <c r="D855" s="7"/>
      <c r="E855" s="30"/>
      <c r="F855" s="30"/>
    </row>
    <row r="856">
      <c r="B856" s="7"/>
      <c r="D856" s="7"/>
      <c r="E856" s="30"/>
      <c r="F856" s="30"/>
    </row>
    <row r="857">
      <c r="B857" s="7"/>
      <c r="D857" s="7"/>
      <c r="E857" s="30"/>
      <c r="F857" s="30"/>
    </row>
    <row r="858">
      <c r="B858" s="7"/>
      <c r="D858" s="7"/>
      <c r="E858" s="30"/>
      <c r="F858" s="30"/>
    </row>
    <row r="859">
      <c r="B859" s="7"/>
      <c r="D859" s="7"/>
      <c r="E859" s="30"/>
      <c r="F859" s="30"/>
    </row>
    <row r="860">
      <c r="B860" s="7"/>
      <c r="D860" s="7"/>
      <c r="E860" s="30"/>
      <c r="F860" s="30"/>
    </row>
    <row r="861">
      <c r="B861" s="7"/>
      <c r="D861" s="7"/>
      <c r="E861" s="30"/>
      <c r="F861" s="30"/>
    </row>
    <row r="862">
      <c r="B862" s="7"/>
      <c r="D862" s="7"/>
      <c r="E862" s="30"/>
      <c r="F862" s="30"/>
    </row>
    <row r="863">
      <c r="B863" s="7"/>
      <c r="D863" s="7"/>
      <c r="E863" s="30"/>
      <c r="F863" s="30"/>
    </row>
    <row r="864">
      <c r="B864" s="7"/>
      <c r="D864" s="7"/>
      <c r="E864" s="30"/>
      <c r="F864" s="30"/>
    </row>
    <row r="865">
      <c r="B865" s="7"/>
      <c r="D865" s="7"/>
      <c r="E865" s="30"/>
      <c r="F865" s="30"/>
    </row>
    <row r="866">
      <c r="B866" s="7"/>
      <c r="D866" s="7"/>
      <c r="E866" s="30"/>
      <c r="F866" s="30"/>
    </row>
    <row r="867">
      <c r="B867" s="7"/>
      <c r="D867" s="7"/>
      <c r="E867" s="30"/>
      <c r="F867" s="30"/>
    </row>
    <row r="868">
      <c r="B868" s="7"/>
      <c r="D868" s="7"/>
      <c r="E868" s="30"/>
      <c r="F868" s="30"/>
    </row>
    <row r="869">
      <c r="B869" s="7"/>
      <c r="D869" s="7"/>
      <c r="E869" s="30"/>
      <c r="F869" s="30"/>
    </row>
    <row r="870">
      <c r="B870" s="7"/>
      <c r="D870" s="7"/>
      <c r="E870" s="30"/>
      <c r="F870" s="30"/>
    </row>
    <row r="871">
      <c r="B871" s="7"/>
      <c r="D871" s="7"/>
      <c r="E871" s="30"/>
      <c r="F871" s="30"/>
    </row>
    <row r="872">
      <c r="B872" s="7"/>
      <c r="D872" s="7"/>
      <c r="E872" s="30"/>
      <c r="F872" s="30"/>
    </row>
    <row r="873">
      <c r="B873" s="7"/>
      <c r="D873" s="7"/>
      <c r="E873" s="30"/>
      <c r="F873" s="30"/>
    </row>
    <row r="874">
      <c r="B874" s="7"/>
      <c r="D874" s="7"/>
      <c r="E874" s="30"/>
      <c r="F874" s="30"/>
    </row>
    <row r="875">
      <c r="B875" s="7"/>
      <c r="D875" s="7"/>
      <c r="E875" s="30"/>
      <c r="F875" s="30"/>
    </row>
    <row r="876">
      <c r="B876" s="7"/>
      <c r="D876" s="7"/>
      <c r="E876" s="30"/>
      <c r="F876" s="30"/>
    </row>
    <row r="877">
      <c r="B877" s="7"/>
      <c r="D877" s="7"/>
      <c r="E877" s="30"/>
      <c r="F877" s="30"/>
    </row>
    <row r="878">
      <c r="B878" s="7"/>
      <c r="D878" s="7"/>
      <c r="E878" s="30"/>
      <c r="F878" s="30"/>
    </row>
    <row r="879">
      <c r="B879" s="7"/>
      <c r="D879" s="7"/>
      <c r="E879" s="30"/>
      <c r="F879" s="30"/>
    </row>
    <row r="880">
      <c r="B880" s="7"/>
      <c r="D880" s="7"/>
      <c r="E880" s="30"/>
      <c r="F880" s="30"/>
    </row>
    <row r="881">
      <c r="B881" s="7"/>
      <c r="D881" s="7"/>
      <c r="E881" s="30"/>
      <c r="F881" s="30"/>
    </row>
    <row r="882">
      <c r="B882" s="7"/>
      <c r="D882" s="7"/>
      <c r="E882" s="30"/>
      <c r="F882" s="30"/>
    </row>
    <row r="883">
      <c r="B883" s="7"/>
      <c r="D883" s="7"/>
      <c r="E883" s="30"/>
      <c r="F883" s="30"/>
    </row>
    <row r="884">
      <c r="B884" s="7"/>
      <c r="D884" s="7"/>
      <c r="E884" s="30"/>
      <c r="F884" s="30"/>
    </row>
    <row r="885">
      <c r="B885" s="7"/>
      <c r="D885" s="7"/>
      <c r="E885" s="30"/>
      <c r="F885" s="30"/>
    </row>
    <row r="886">
      <c r="B886" s="7"/>
      <c r="D886" s="7"/>
      <c r="E886" s="30"/>
      <c r="F886" s="30"/>
    </row>
    <row r="887">
      <c r="B887" s="7"/>
      <c r="D887" s="7"/>
      <c r="E887" s="30"/>
      <c r="F887" s="30"/>
    </row>
    <row r="888">
      <c r="B888" s="7"/>
      <c r="D888" s="7"/>
      <c r="E888" s="30"/>
      <c r="F888" s="30"/>
    </row>
    <row r="889">
      <c r="B889" s="7"/>
      <c r="D889" s="7"/>
      <c r="E889" s="30"/>
      <c r="F889" s="30"/>
    </row>
    <row r="890">
      <c r="B890" s="7"/>
      <c r="D890" s="7"/>
      <c r="E890" s="30"/>
      <c r="F890" s="30"/>
    </row>
    <row r="891">
      <c r="B891" s="7"/>
      <c r="D891" s="7"/>
      <c r="E891" s="30"/>
      <c r="F891" s="30"/>
    </row>
    <row r="892">
      <c r="B892" s="7"/>
      <c r="D892" s="7"/>
      <c r="E892" s="30"/>
      <c r="F892" s="30"/>
    </row>
    <row r="893">
      <c r="B893" s="7"/>
      <c r="D893" s="7"/>
      <c r="E893" s="30"/>
      <c r="F893" s="30"/>
    </row>
    <row r="894">
      <c r="B894" s="7"/>
      <c r="D894" s="7"/>
      <c r="E894" s="30"/>
      <c r="F894" s="30"/>
    </row>
    <row r="895">
      <c r="B895" s="7"/>
      <c r="D895" s="7"/>
      <c r="E895" s="30"/>
      <c r="F895" s="30"/>
    </row>
    <row r="896">
      <c r="B896" s="7"/>
      <c r="D896" s="7"/>
      <c r="E896" s="30"/>
      <c r="F896" s="30"/>
    </row>
    <row r="897">
      <c r="B897" s="7"/>
      <c r="D897" s="7"/>
      <c r="E897" s="30"/>
      <c r="F897" s="30"/>
    </row>
    <row r="898">
      <c r="B898" s="7"/>
      <c r="D898" s="7"/>
      <c r="E898" s="30"/>
      <c r="F898" s="30"/>
    </row>
    <row r="899">
      <c r="B899" s="7"/>
      <c r="D899" s="7"/>
      <c r="E899" s="30"/>
      <c r="F899" s="30"/>
    </row>
    <row r="900">
      <c r="B900" s="7"/>
      <c r="D900" s="7"/>
      <c r="E900" s="30"/>
      <c r="F900" s="30"/>
    </row>
    <row r="901">
      <c r="B901" s="7"/>
      <c r="D901" s="7"/>
      <c r="E901" s="30"/>
      <c r="F901" s="30"/>
    </row>
    <row r="902">
      <c r="B902" s="7"/>
      <c r="D902" s="7"/>
      <c r="E902" s="30"/>
      <c r="F902" s="30"/>
    </row>
    <row r="903">
      <c r="B903" s="7"/>
      <c r="D903" s="7"/>
      <c r="E903" s="30"/>
      <c r="F903" s="30"/>
    </row>
    <row r="904">
      <c r="B904" s="7"/>
      <c r="D904" s="7"/>
      <c r="E904" s="30"/>
      <c r="F904" s="30"/>
    </row>
    <row r="905">
      <c r="B905" s="7"/>
      <c r="D905" s="7"/>
      <c r="E905" s="30"/>
      <c r="F905" s="30"/>
    </row>
    <row r="906">
      <c r="B906" s="7"/>
      <c r="D906" s="7"/>
      <c r="E906" s="30"/>
      <c r="F906" s="30"/>
    </row>
    <row r="907">
      <c r="B907" s="7"/>
      <c r="D907" s="7"/>
      <c r="E907" s="30"/>
      <c r="F907" s="30"/>
    </row>
    <row r="908">
      <c r="B908" s="7"/>
      <c r="D908" s="7"/>
      <c r="E908" s="30"/>
      <c r="F908" s="30"/>
    </row>
    <row r="909">
      <c r="B909" s="7"/>
      <c r="D909" s="7"/>
      <c r="E909" s="30"/>
      <c r="F909" s="30"/>
    </row>
    <row r="910">
      <c r="B910" s="7"/>
      <c r="D910" s="7"/>
      <c r="E910" s="30"/>
      <c r="F910" s="30"/>
    </row>
    <row r="911">
      <c r="B911" s="7"/>
      <c r="D911" s="7"/>
      <c r="E911" s="30"/>
      <c r="F911" s="30"/>
    </row>
    <row r="912">
      <c r="B912" s="7"/>
      <c r="D912" s="7"/>
      <c r="E912" s="30"/>
      <c r="F912" s="30"/>
    </row>
    <row r="913">
      <c r="B913" s="7"/>
      <c r="D913" s="7"/>
      <c r="E913" s="30"/>
      <c r="F913" s="30"/>
    </row>
    <row r="914">
      <c r="B914" s="7"/>
      <c r="D914" s="7"/>
      <c r="E914" s="30"/>
      <c r="F914" s="30"/>
    </row>
    <row r="915">
      <c r="B915" s="7"/>
      <c r="D915" s="7"/>
      <c r="E915" s="30"/>
      <c r="F915" s="30"/>
    </row>
    <row r="916">
      <c r="B916" s="7"/>
      <c r="D916" s="7"/>
      <c r="E916" s="30"/>
      <c r="F916" s="30"/>
    </row>
    <row r="917">
      <c r="B917" s="7"/>
      <c r="D917" s="7"/>
      <c r="E917" s="30"/>
      <c r="F917" s="30"/>
    </row>
    <row r="918">
      <c r="B918" s="7"/>
      <c r="D918" s="7"/>
      <c r="E918" s="30"/>
      <c r="F918" s="30"/>
    </row>
    <row r="919">
      <c r="B919" s="7"/>
      <c r="D919" s="7"/>
      <c r="E919" s="30"/>
      <c r="F919" s="30"/>
    </row>
    <row r="920">
      <c r="B920" s="7"/>
      <c r="D920" s="7"/>
      <c r="E920" s="30"/>
      <c r="F920" s="30"/>
    </row>
    <row r="921">
      <c r="B921" s="7"/>
      <c r="D921" s="7"/>
      <c r="E921" s="30"/>
      <c r="F921" s="30"/>
    </row>
    <row r="922">
      <c r="B922" s="7"/>
      <c r="D922" s="7"/>
      <c r="E922" s="30"/>
      <c r="F922" s="30"/>
    </row>
    <row r="923">
      <c r="B923" s="7"/>
      <c r="D923" s="7"/>
      <c r="E923" s="30"/>
      <c r="F923" s="30"/>
    </row>
    <row r="924">
      <c r="B924" s="7"/>
      <c r="D924" s="7"/>
      <c r="E924" s="30"/>
      <c r="F924" s="30"/>
    </row>
    <row r="925">
      <c r="B925" s="7"/>
      <c r="D925" s="7"/>
      <c r="E925" s="30"/>
      <c r="F925" s="30"/>
    </row>
    <row r="926">
      <c r="B926" s="7"/>
      <c r="D926" s="7"/>
      <c r="E926" s="30"/>
      <c r="F926" s="30"/>
    </row>
    <row r="927">
      <c r="B927" s="7"/>
      <c r="D927" s="7"/>
      <c r="E927" s="30"/>
      <c r="F927" s="30"/>
    </row>
    <row r="928">
      <c r="B928" s="7"/>
      <c r="D928" s="7"/>
      <c r="E928" s="30"/>
      <c r="F928" s="30"/>
    </row>
    <row r="929">
      <c r="B929" s="7"/>
      <c r="D929" s="7"/>
      <c r="E929" s="30"/>
      <c r="F929" s="30"/>
    </row>
    <row r="930">
      <c r="B930" s="7"/>
      <c r="D930" s="7"/>
      <c r="E930" s="30"/>
      <c r="F930" s="30"/>
    </row>
    <row r="931">
      <c r="B931" s="7"/>
      <c r="D931" s="7"/>
      <c r="E931" s="30"/>
      <c r="F931" s="30"/>
    </row>
    <row r="932">
      <c r="B932" s="7"/>
      <c r="D932" s="7"/>
      <c r="E932" s="30"/>
      <c r="F932" s="30"/>
    </row>
    <row r="933">
      <c r="B933" s="7"/>
      <c r="D933" s="7"/>
      <c r="E933" s="30"/>
      <c r="F933" s="30"/>
    </row>
    <row r="934">
      <c r="B934" s="7"/>
      <c r="D934" s="7"/>
      <c r="E934" s="30"/>
      <c r="F934" s="30"/>
    </row>
    <row r="935">
      <c r="B935" s="7"/>
      <c r="D935" s="7"/>
      <c r="E935" s="30"/>
      <c r="F935" s="30"/>
    </row>
    <row r="936">
      <c r="B936" s="7"/>
      <c r="D936" s="7"/>
      <c r="E936" s="30"/>
      <c r="F936" s="30"/>
    </row>
    <row r="937">
      <c r="B937" s="7"/>
      <c r="D937" s="7"/>
      <c r="E937" s="30"/>
      <c r="F937" s="30"/>
    </row>
    <row r="938">
      <c r="B938" s="7"/>
      <c r="D938" s="7"/>
      <c r="E938" s="30"/>
      <c r="F938" s="30"/>
    </row>
    <row r="939">
      <c r="B939" s="7"/>
      <c r="D939" s="7"/>
      <c r="E939" s="30"/>
      <c r="F939" s="30"/>
    </row>
    <row r="940">
      <c r="B940" s="7"/>
      <c r="D940" s="7"/>
      <c r="E940" s="30"/>
      <c r="F940" s="30"/>
    </row>
    <row r="941">
      <c r="B941" s="7"/>
      <c r="D941" s="7"/>
      <c r="E941" s="30"/>
      <c r="F941" s="30"/>
    </row>
    <row r="942">
      <c r="B942" s="7"/>
      <c r="D942" s="7"/>
      <c r="E942" s="30"/>
      <c r="F942" s="30"/>
    </row>
    <row r="943">
      <c r="B943" s="7"/>
      <c r="D943" s="7"/>
      <c r="E943" s="30"/>
      <c r="F943" s="30"/>
    </row>
    <row r="944">
      <c r="B944" s="7"/>
      <c r="D944" s="7"/>
      <c r="E944" s="30"/>
      <c r="F944" s="30"/>
    </row>
    <row r="945">
      <c r="B945" s="7"/>
      <c r="D945" s="7"/>
      <c r="E945" s="30"/>
      <c r="F945" s="30"/>
    </row>
    <row r="946">
      <c r="B946" s="7"/>
      <c r="D946" s="7"/>
      <c r="E946" s="30"/>
      <c r="F946" s="30"/>
    </row>
    <row r="947">
      <c r="B947" s="7"/>
      <c r="D947" s="7"/>
      <c r="E947" s="30"/>
      <c r="F947" s="30"/>
    </row>
    <row r="948">
      <c r="B948" s="7"/>
      <c r="D948" s="7"/>
      <c r="E948" s="30"/>
      <c r="F948" s="30"/>
    </row>
    <row r="949">
      <c r="B949" s="7"/>
      <c r="D949" s="7"/>
      <c r="E949" s="30"/>
      <c r="F949" s="30"/>
    </row>
    <row r="950">
      <c r="B950" s="7"/>
      <c r="D950" s="7"/>
      <c r="E950" s="30"/>
      <c r="F950" s="30"/>
    </row>
    <row r="951">
      <c r="B951" s="7"/>
      <c r="D951" s="7"/>
      <c r="E951" s="30"/>
      <c r="F951" s="30"/>
    </row>
    <row r="952">
      <c r="B952" s="7"/>
      <c r="D952" s="7"/>
      <c r="E952" s="30"/>
      <c r="F952" s="30"/>
    </row>
    <row r="953">
      <c r="B953" s="7"/>
      <c r="D953" s="7"/>
      <c r="E953" s="30"/>
      <c r="F953" s="30"/>
    </row>
    <row r="954">
      <c r="B954" s="7"/>
      <c r="D954" s="7"/>
      <c r="E954" s="30"/>
      <c r="F954" s="30"/>
    </row>
    <row r="955">
      <c r="B955" s="7"/>
      <c r="D955" s="7"/>
      <c r="E955" s="30"/>
      <c r="F955" s="30"/>
    </row>
    <row r="956">
      <c r="B956" s="7"/>
      <c r="D956" s="7"/>
      <c r="E956" s="30"/>
      <c r="F956" s="30"/>
    </row>
    <row r="957">
      <c r="B957" s="7"/>
      <c r="D957" s="7"/>
      <c r="E957" s="30"/>
      <c r="F957" s="30"/>
    </row>
    <row r="958">
      <c r="B958" s="7"/>
      <c r="D958" s="7"/>
      <c r="E958" s="30"/>
      <c r="F958" s="30"/>
    </row>
    <row r="959">
      <c r="B959" s="7"/>
      <c r="D959" s="7"/>
      <c r="E959" s="30"/>
      <c r="F959" s="30"/>
    </row>
    <row r="960">
      <c r="B960" s="7"/>
      <c r="D960" s="7"/>
      <c r="E960" s="30"/>
      <c r="F960" s="30"/>
    </row>
    <row r="961">
      <c r="B961" s="7"/>
      <c r="D961" s="7"/>
      <c r="E961" s="30"/>
      <c r="F961" s="30"/>
    </row>
    <row r="962">
      <c r="B962" s="7"/>
      <c r="D962" s="7"/>
      <c r="E962" s="30"/>
      <c r="F962" s="30"/>
    </row>
    <row r="963">
      <c r="B963" s="7"/>
      <c r="D963" s="7"/>
      <c r="E963" s="30"/>
      <c r="F963" s="30"/>
    </row>
    <row r="964">
      <c r="B964" s="7"/>
      <c r="D964" s="7"/>
      <c r="E964" s="30"/>
      <c r="F964" s="30"/>
    </row>
    <row r="965">
      <c r="B965" s="7"/>
      <c r="D965" s="7"/>
      <c r="E965" s="30"/>
      <c r="F965" s="30"/>
    </row>
    <row r="966">
      <c r="B966" s="7"/>
      <c r="D966" s="7"/>
      <c r="E966" s="30"/>
      <c r="F966" s="30"/>
    </row>
    <row r="967">
      <c r="B967" s="7"/>
      <c r="D967" s="7"/>
      <c r="E967" s="30"/>
      <c r="F967" s="30"/>
    </row>
    <row r="968">
      <c r="B968" s="7"/>
      <c r="D968" s="7"/>
      <c r="E968" s="30"/>
      <c r="F968" s="30"/>
    </row>
    <row r="969">
      <c r="B969" s="7"/>
      <c r="D969" s="7"/>
      <c r="E969" s="30"/>
      <c r="F969" s="30"/>
    </row>
    <row r="970">
      <c r="B970" s="7"/>
      <c r="D970" s="7"/>
      <c r="E970" s="30"/>
      <c r="F970" s="30"/>
    </row>
    <row r="971">
      <c r="B971" s="7"/>
      <c r="D971" s="7"/>
      <c r="E971" s="30"/>
      <c r="F971" s="30"/>
    </row>
    <row r="972">
      <c r="B972" s="7"/>
      <c r="D972" s="7"/>
      <c r="E972" s="30"/>
      <c r="F972" s="30"/>
    </row>
    <row r="973">
      <c r="B973" s="7"/>
      <c r="D973" s="7"/>
      <c r="E973" s="30"/>
      <c r="F973" s="30"/>
    </row>
    <row r="974">
      <c r="B974" s="7"/>
      <c r="D974" s="7"/>
      <c r="E974" s="30"/>
      <c r="F974" s="30"/>
    </row>
    <row r="975">
      <c r="B975" s="7"/>
      <c r="D975" s="7"/>
      <c r="E975" s="30"/>
      <c r="F975" s="30"/>
    </row>
    <row r="976">
      <c r="B976" s="7"/>
      <c r="D976" s="7"/>
      <c r="E976" s="30"/>
      <c r="F976" s="30"/>
    </row>
    <row r="977">
      <c r="B977" s="7"/>
      <c r="D977" s="7"/>
      <c r="E977" s="30"/>
      <c r="F977" s="30"/>
    </row>
    <row r="978">
      <c r="B978" s="7"/>
      <c r="D978" s="7"/>
      <c r="E978" s="30"/>
      <c r="F978" s="30"/>
    </row>
    <row r="979">
      <c r="B979" s="7"/>
      <c r="D979" s="7"/>
      <c r="E979" s="30"/>
      <c r="F979" s="30"/>
    </row>
    <row r="980">
      <c r="B980" s="7"/>
      <c r="D980" s="7"/>
      <c r="E980" s="30"/>
      <c r="F980" s="30"/>
    </row>
    <row r="981">
      <c r="B981" s="7"/>
      <c r="D981" s="7"/>
      <c r="E981" s="30"/>
      <c r="F981" s="30"/>
    </row>
    <row r="982">
      <c r="B982" s="7"/>
      <c r="D982" s="7"/>
      <c r="E982" s="30"/>
      <c r="F982" s="30"/>
    </row>
    <row r="983">
      <c r="B983" s="7"/>
      <c r="D983" s="7"/>
      <c r="E983" s="30"/>
      <c r="F983" s="30"/>
    </row>
    <row r="984">
      <c r="B984" s="7"/>
      <c r="D984" s="7"/>
      <c r="E984" s="30"/>
      <c r="F984" s="30"/>
    </row>
    <row r="985">
      <c r="B985" s="7"/>
      <c r="D985" s="7"/>
      <c r="E985" s="30"/>
      <c r="F985" s="30"/>
    </row>
    <row r="986">
      <c r="B986" s="7"/>
      <c r="D986" s="7"/>
      <c r="E986" s="30"/>
      <c r="F986" s="30"/>
    </row>
    <row r="987">
      <c r="B987" s="7"/>
      <c r="D987" s="7"/>
      <c r="E987" s="30"/>
      <c r="F987" s="30"/>
    </row>
    <row r="988">
      <c r="B988" s="7"/>
      <c r="D988" s="7"/>
      <c r="E988" s="30"/>
      <c r="F988" s="30"/>
    </row>
    <row r="989">
      <c r="B989" s="7"/>
      <c r="D989" s="7"/>
      <c r="E989" s="30"/>
      <c r="F989" s="30"/>
    </row>
    <row r="990">
      <c r="B990" s="7"/>
      <c r="D990" s="7"/>
      <c r="E990" s="30"/>
      <c r="F990" s="30"/>
    </row>
    <row r="991">
      <c r="B991" s="7"/>
      <c r="D991" s="7"/>
      <c r="E991" s="30"/>
      <c r="F991" s="30"/>
    </row>
    <row r="992">
      <c r="B992" s="7"/>
      <c r="D992" s="7"/>
      <c r="E992" s="30"/>
      <c r="F992" s="30"/>
    </row>
    <row r="993">
      <c r="B993" s="7"/>
      <c r="D993" s="7"/>
      <c r="E993" s="30"/>
      <c r="F993" s="30"/>
    </row>
    <row r="994">
      <c r="B994" s="7"/>
      <c r="D994" s="7"/>
      <c r="E994" s="30"/>
      <c r="F994" s="30"/>
    </row>
    <row r="995">
      <c r="B995" s="7"/>
      <c r="D995" s="7"/>
      <c r="E995" s="30"/>
      <c r="F995" s="30"/>
    </row>
    <row r="996">
      <c r="B996" s="7"/>
      <c r="D996" s="7"/>
      <c r="E996" s="30"/>
      <c r="F996" s="30"/>
    </row>
    <row r="997">
      <c r="B997" s="7"/>
      <c r="D997" s="7"/>
      <c r="E997" s="30"/>
      <c r="F997" s="30"/>
    </row>
    <row r="998">
      <c r="B998" s="7"/>
      <c r="D998" s="7"/>
      <c r="E998" s="30"/>
      <c r="F998" s="30"/>
    </row>
    <row r="999">
      <c r="B999" s="7"/>
      <c r="D999" s="7"/>
      <c r="E999" s="30"/>
      <c r="F999" s="30"/>
    </row>
    <row r="1000">
      <c r="B1000" s="7"/>
      <c r="D1000" s="7"/>
      <c r="E1000" s="30"/>
      <c r="F1000" s="30"/>
    </row>
  </sheetData>
  <mergeCells count="8">
    <mergeCell ref="A3:G3"/>
    <mergeCell ref="A4:G4"/>
    <mergeCell ref="A6:A7"/>
    <mergeCell ref="B6:B7"/>
    <mergeCell ref="C6:C7"/>
    <mergeCell ref="D6:D7"/>
    <mergeCell ref="E6:F6"/>
    <mergeCell ref="G6:G7"/>
  </mergeCells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8.75"/>
    <col customWidth="1" min="3" max="3" width="21.88"/>
    <col customWidth="1" min="4" max="4" width="19.5"/>
    <col customWidth="1" min="5" max="5" width="12.25"/>
    <col customWidth="1" min="6" max="6" width="11.0"/>
    <col customWidth="1" min="7" max="7" width="17.75"/>
  </cols>
  <sheetData>
    <row r="1">
      <c r="A1" s="6" t="s">
        <v>49</v>
      </c>
    </row>
    <row r="3">
      <c r="A3" s="8" t="s">
        <v>50</v>
      </c>
    </row>
    <row r="4">
      <c r="A4" s="8" t="s">
        <v>51</v>
      </c>
    </row>
    <row r="6">
      <c r="A6" s="14" t="s">
        <v>52</v>
      </c>
      <c r="B6" s="15" t="s">
        <v>53</v>
      </c>
      <c r="C6" s="14" t="s">
        <v>2</v>
      </c>
      <c r="D6" s="14" t="s">
        <v>3</v>
      </c>
      <c r="E6" s="16" t="s">
        <v>57</v>
      </c>
      <c r="F6" s="17"/>
      <c r="G6" s="14" t="s">
        <v>56</v>
      </c>
    </row>
    <row r="7">
      <c r="A7" s="18"/>
      <c r="B7" s="18"/>
      <c r="C7" s="18"/>
      <c r="D7" s="18"/>
      <c r="E7" s="19" t="s">
        <v>54</v>
      </c>
      <c r="F7" s="19" t="s">
        <v>55</v>
      </c>
      <c r="G7" s="18"/>
    </row>
    <row r="8">
      <c r="A8" s="20">
        <v>1.0</v>
      </c>
      <c r="B8" s="22" t="str">
        <f>IFERROR(__xludf.DUMMYFUNCTION("QUERY(IMPORTRANGE($A$1,""Form Responses 1!A2:G""),""select Col2 where Col5='Januari'"")"),"#N/A")</f>
        <v>#N/A</v>
      </c>
      <c r="C8" s="22" t="str">
        <f>IFERROR(__xludf.DUMMYFUNCTION("QUERY(IMPORTRANGE($A$1,""Form Responses 1!A2:G""),""select Col3 where Col5='Januari'"")"),"#N/A")</f>
        <v>#N/A</v>
      </c>
      <c r="D8" s="23" t="str">
        <f>IFERROR(__xludf.DUMMYFUNCTION("QUERY(IMPORTRANGE($A$1,""Form Responses 1!A2:G""),""select Col4 where Col5='Januari'"")"),"#N/A")</f>
        <v>#N/A</v>
      </c>
      <c r="E8" s="24" t="str">
        <f>IFERROR(__xludf.DUMMYFUNCTION("QUERY(IMPORTRANGE($A$1,""Form Responses 1!A2:G""),""select Col6 where Col5='Januari'"")"),"#N/A")</f>
        <v>#N/A</v>
      </c>
      <c r="F8" s="24" t="str">
        <f>IFERROR(__xludf.DUMMYFUNCTION("QUERY(IMPORTRANGE($A$1,""Form Responses 1!A2:G""),""select Col7 where Col5='Januari'"")"),"#N/A")</f>
        <v>#N/A</v>
      </c>
      <c r="G8" s="23"/>
    </row>
    <row r="9">
      <c r="A9" s="20">
        <v>2.0</v>
      </c>
      <c r="B9" s="22"/>
      <c r="C9" s="22"/>
      <c r="D9" s="23"/>
      <c r="E9" s="24"/>
      <c r="F9" s="24"/>
      <c r="G9" s="23"/>
    </row>
    <row r="10">
      <c r="A10" s="20">
        <v>3.0</v>
      </c>
      <c r="B10" s="22"/>
      <c r="C10" s="22"/>
      <c r="D10" s="23"/>
      <c r="E10" s="24"/>
      <c r="F10" s="24"/>
      <c r="G10" s="23"/>
    </row>
    <row r="11">
      <c r="A11" s="20">
        <v>4.0</v>
      </c>
      <c r="B11" s="22"/>
      <c r="C11" s="22"/>
      <c r="D11" s="23"/>
      <c r="E11" s="24"/>
      <c r="F11" s="24"/>
      <c r="G11" s="23"/>
    </row>
    <row r="12">
      <c r="A12" s="20">
        <v>5.0</v>
      </c>
      <c r="B12" s="22"/>
      <c r="C12" s="22"/>
      <c r="D12" s="23"/>
      <c r="E12" s="24"/>
      <c r="F12" s="24"/>
      <c r="G12" s="23"/>
    </row>
    <row r="13">
      <c r="A13" s="20">
        <v>6.0</v>
      </c>
      <c r="B13" s="22"/>
      <c r="C13" s="22"/>
      <c r="D13" s="23"/>
      <c r="E13" s="24"/>
      <c r="F13" s="24"/>
      <c r="G13" s="23"/>
    </row>
    <row r="14">
      <c r="A14" s="20">
        <v>7.0</v>
      </c>
      <c r="B14" s="22"/>
      <c r="C14" s="22"/>
      <c r="D14" s="23"/>
      <c r="E14" s="24"/>
      <c r="F14" s="24"/>
      <c r="G14" s="23"/>
    </row>
    <row r="15">
      <c r="A15" s="20">
        <v>8.0</v>
      </c>
      <c r="B15" s="22"/>
      <c r="C15" s="22"/>
      <c r="D15" s="23"/>
      <c r="E15" s="24"/>
      <c r="F15" s="24"/>
      <c r="G15" s="23"/>
    </row>
    <row r="16">
      <c r="A16" s="20">
        <v>9.0</v>
      </c>
      <c r="B16" s="22"/>
      <c r="C16" s="22"/>
      <c r="D16" s="23"/>
      <c r="E16" s="24"/>
      <c r="F16" s="24"/>
      <c r="G16" s="23"/>
    </row>
    <row r="17">
      <c r="A17" s="20">
        <v>10.0</v>
      </c>
      <c r="B17" s="22"/>
      <c r="C17" s="22"/>
      <c r="D17" s="23"/>
      <c r="E17" s="24"/>
      <c r="F17" s="24"/>
      <c r="G17" s="23"/>
    </row>
    <row r="18">
      <c r="A18" s="20">
        <v>11.0</v>
      </c>
      <c r="B18" s="22"/>
      <c r="C18" s="22"/>
      <c r="D18" s="23"/>
      <c r="E18" s="24"/>
      <c r="F18" s="24"/>
      <c r="G18" s="23"/>
    </row>
    <row r="19">
      <c r="A19" s="20">
        <v>12.0</v>
      </c>
      <c r="B19" s="22"/>
      <c r="C19" s="22"/>
      <c r="D19" s="23"/>
      <c r="E19" s="24"/>
      <c r="F19" s="24"/>
      <c r="G19" s="23"/>
    </row>
    <row r="20">
      <c r="A20" s="20">
        <v>13.0</v>
      </c>
      <c r="B20" s="22"/>
      <c r="C20" s="22"/>
      <c r="D20" s="23"/>
      <c r="E20" s="24"/>
      <c r="F20" s="24"/>
      <c r="G20" s="23"/>
    </row>
    <row r="21">
      <c r="A21" s="20">
        <v>14.0</v>
      </c>
      <c r="B21" s="22"/>
      <c r="C21" s="22"/>
      <c r="D21" s="23"/>
      <c r="E21" s="24"/>
      <c r="F21" s="24"/>
      <c r="G21" s="23"/>
    </row>
    <row r="22">
      <c r="A22" s="20">
        <v>15.0</v>
      </c>
      <c r="B22" s="22"/>
      <c r="C22" s="22"/>
      <c r="D22" s="23"/>
      <c r="E22" s="24"/>
      <c r="F22" s="24"/>
      <c r="G22" s="23"/>
    </row>
    <row r="23">
      <c r="A23" s="20">
        <v>16.0</v>
      </c>
      <c r="B23" s="22"/>
      <c r="C23" s="22"/>
      <c r="D23" s="23"/>
      <c r="E23" s="24"/>
      <c r="F23" s="24"/>
      <c r="G23" s="23"/>
    </row>
    <row r="24">
      <c r="A24" s="20">
        <v>17.0</v>
      </c>
      <c r="B24" s="22"/>
      <c r="C24" s="22"/>
      <c r="D24" s="23"/>
      <c r="E24" s="24"/>
      <c r="F24" s="24"/>
      <c r="G24" s="23"/>
    </row>
    <row r="25">
      <c r="A25" s="20">
        <v>18.0</v>
      </c>
      <c r="B25" s="22"/>
      <c r="C25" s="22"/>
      <c r="D25" s="23"/>
      <c r="E25" s="24"/>
      <c r="F25" s="24"/>
      <c r="G25" s="23"/>
    </row>
    <row r="26">
      <c r="A26" s="20">
        <v>19.0</v>
      </c>
      <c r="B26" s="22"/>
      <c r="C26" s="22"/>
      <c r="D26" s="23"/>
      <c r="E26" s="24"/>
      <c r="F26" s="24"/>
      <c r="G26" s="23"/>
    </row>
    <row r="27">
      <c r="A27" s="20">
        <v>20.0</v>
      </c>
      <c r="B27" s="22"/>
      <c r="C27" s="22"/>
      <c r="D27" s="23"/>
      <c r="E27" s="24"/>
      <c r="F27" s="24"/>
      <c r="G27" s="23"/>
    </row>
    <row r="28">
      <c r="A28" s="20">
        <v>21.0</v>
      </c>
      <c r="B28" s="22"/>
      <c r="C28" s="22"/>
      <c r="D28" s="23"/>
      <c r="E28" s="24"/>
      <c r="F28" s="24"/>
      <c r="G28" s="23"/>
    </row>
    <row r="29">
      <c r="A29" s="20">
        <v>22.0</v>
      </c>
      <c r="B29" s="22"/>
      <c r="C29" s="22"/>
      <c r="D29" s="23"/>
      <c r="E29" s="24"/>
      <c r="F29" s="24"/>
      <c r="G29" s="23"/>
    </row>
    <row r="30">
      <c r="A30" s="20">
        <v>23.0</v>
      </c>
      <c r="B30" s="22"/>
      <c r="C30" s="22"/>
      <c r="D30" s="23"/>
      <c r="E30" s="24"/>
      <c r="F30" s="24"/>
      <c r="G30" s="23"/>
    </row>
    <row r="31">
      <c r="A31" s="20">
        <v>24.0</v>
      </c>
      <c r="B31" s="22"/>
      <c r="C31" s="22"/>
      <c r="D31" s="23"/>
      <c r="E31" s="24"/>
      <c r="F31" s="24"/>
      <c r="G31" s="23"/>
    </row>
    <row r="32">
      <c r="A32" s="20">
        <v>25.0</v>
      </c>
      <c r="B32" s="22"/>
      <c r="C32" s="22"/>
      <c r="D32" s="23"/>
      <c r="E32" s="24"/>
      <c r="F32" s="24"/>
      <c r="G32" s="23"/>
    </row>
    <row r="33">
      <c r="A33" s="20">
        <v>26.0</v>
      </c>
      <c r="B33" s="22"/>
      <c r="C33" s="22"/>
      <c r="D33" s="23"/>
      <c r="E33" s="24"/>
      <c r="F33" s="24"/>
      <c r="G33" s="23"/>
    </row>
    <row r="34">
      <c r="A34" s="20">
        <v>27.0</v>
      </c>
      <c r="B34" s="22"/>
      <c r="C34" s="22"/>
      <c r="D34" s="23"/>
      <c r="E34" s="24"/>
      <c r="F34" s="24"/>
      <c r="G34" s="23"/>
    </row>
    <row r="35">
      <c r="A35" s="20">
        <v>28.0</v>
      </c>
      <c r="B35" s="22"/>
      <c r="C35" s="22"/>
      <c r="D35" s="23"/>
      <c r="E35" s="24"/>
      <c r="F35" s="24"/>
      <c r="G35" s="23"/>
    </row>
    <row r="36">
      <c r="A36" s="20">
        <v>29.0</v>
      </c>
      <c r="B36" s="22"/>
      <c r="C36" s="22"/>
      <c r="D36" s="23"/>
      <c r="E36" s="24"/>
      <c r="F36" s="24"/>
      <c r="G36" s="23"/>
    </row>
    <row r="37">
      <c r="A37" s="20">
        <v>30.0</v>
      </c>
      <c r="B37" s="22"/>
      <c r="C37" s="22"/>
      <c r="D37" s="23"/>
      <c r="E37" s="24"/>
      <c r="F37" s="24"/>
      <c r="G37" s="23"/>
    </row>
    <row r="38">
      <c r="A38" s="20">
        <v>31.0</v>
      </c>
      <c r="B38" s="22"/>
      <c r="C38" s="22"/>
      <c r="D38" s="23"/>
      <c r="E38" s="24"/>
      <c r="F38" s="24"/>
      <c r="G38" s="23"/>
    </row>
    <row r="39">
      <c r="A39" s="20">
        <v>32.0</v>
      </c>
      <c r="B39" s="22"/>
      <c r="C39" s="22"/>
      <c r="D39" s="23"/>
      <c r="E39" s="24"/>
      <c r="F39" s="24"/>
      <c r="G39" s="23"/>
    </row>
    <row r="40">
      <c r="A40" s="20">
        <v>33.0</v>
      </c>
      <c r="B40" s="22"/>
      <c r="C40" s="22"/>
      <c r="D40" s="23"/>
      <c r="E40" s="24"/>
      <c r="F40" s="24"/>
      <c r="G40" s="23"/>
    </row>
    <row r="41">
      <c r="A41" s="20">
        <v>34.0</v>
      </c>
      <c r="B41" s="22"/>
      <c r="C41" s="22"/>
      <c r="D41" s="23"/>
      <c r="E41" s="24"/>
      <c r="F41" s="24"/>
      <c r="G41" s="23"/>
    </row>
    <row r="42">
      <c r="A42" s="20">
        <v>35.0</v>
      </c>
      <c r="B42" s="22"/>
      <c r="C42" s="22"/>
      <c r="D42" s="23"/>
      <c r="E42" s="24"/>
      <c r="F42" s="24"/>
      <c r="G42" s="23"/>
    </row>
    <row r="43">
      <c r="A43" s="20">
        <v>36.0</v>
      </c>
      <c r="B43" s="22"/>
      <c r="C43" s="22"/>
      <c r="D43" s="23"/>
      <c r="E43" s="24"/>
      <c r="F43" s="24"/>
      <c r="G43" s="23"/>
    </row>
    <row r="44">
      <c r="A44" s="20">
        <v>37.0</v>
      </c>
      <c r="B44" s="22"/>
      <c r="C44" s="22"/>
      <c r="D44" s="23"/>
      <c r="E44" s="24"/>
      <c r="F44" s="24"/>
      <c r="G44" s="23"/>
    </row>
    <row r="45">
      <c r="E45" s="32"/>
      <c r="F45" s="32"/>
    </row>
    <row r="46">
      <c r="E46" s="32"/>
      <c r="F46" s="32"/>
    </row>
    <row r="47">
      <c r="E47" s="32"/>
      <c r="F47" s="32"/>
    </row>
    <row r="48">
      <c r="E48" s="32"/>
      <c r="F48" s="32"/>
    </row>
    <row r="49">
      <c r="E49" s="32"/>
      <c r="F49" s="32"/>
    </row>
    <row r="50">
      <c r="E50" s="32"/>
      <c r="F50" s="32"/>
    </row>
    <row r="51">
      <c r="E51" s="32"/>
      <c r="F51" s="32"/>
    </row>
    <row r="52">
      <c r="E52" s="32"/>
      <c r="F52" s="32"/>
    </row>
    <row r="53">
      <c r="E53" s="32"/>
      <c r="F53" s="32"/>
    </row>
    <row r="54">
      <c r="E54" s="32"/>
      <c r="F54" s="32"/>
    </row>
    <row r="55">
      <c r="E55" s="32"/>
      <c r="F55" s="32"/>
    </row>
    <row r="56">
      <c r="E56" s="32"/>
      <c r="F56" s="32"/>
    </row>
    <row r="57">
      <c r="E57" s="32"/>
      <c r="F57" s="32"/>
    </row>
    <row r="58">
      <c r="E58" s="32"/>
      <c r="F58" s="32"/>
    </row>
    <row r="59">
      <c r="E59" s="32"/>
      <c r="F59" s="32"/>
    </row>
    <row r="60">
      <c r="E60" s="32"/>
      <c r="F60" s="32"/>
    </row>
  </sheetData>
  <mergeCells count="8">
    <mergeCell ref="A3:G3"/>
    <mergeCell ref="A4:G4"/>
    <mergeCell ref="A6:A7"/>
    <mergeCell ref="B6:B7"/>
    <mergeCell ref="C6:C7"/>
    <mergeCell ref="D6:D7"/>
    <mergeCell ref="E6:F6"/>
    <mergeCell ref="G6:G7"/>
  </mergeCells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8.75"/>
    <col customWidth="1" min="3" max="3" width="21.25"/>
    <col customWidth="1" min="4" max="4" width="19.5"/>
    <col customWidth="1" min="5" max="5" width="12.25"/>
    <col customWidth="1" min="6" max="6" width="11.0"/>
    <col customWidth="1" min="7" max="7" width="17.75"/>
  </cols>
  <sheetData>
    <row r="1">
      <c r="A1" s="6" t="s">
        <v>49</v>
      </c>
    </row>
    <row r="3">
      <c r="A3" s="8" t="s">
        <v>50</v>
      </c>
    </row>
    <row r="4">
      <c r="A4" s="8" t="s">
        <v>51</v>
      </c>
    </row>
    <row r="6">
      <c r="A6" s="14" t="s">
        <v>52</v>
      </c>
      <c r="B6" s="15" t="s">
        <v>53</v>
      </c>
      <c r="C6" s="14" t="s">
        <v>2</v>
      </c>
      <c r="D6" s="14" t="s">
        <v>3</v>
      </c>
      <c r="E6" s="16" t="s">
        <v>57</v>
      </c>
      <c r="F6" s="17"/>
      <c r="G6" s="14" t="s">
        <v>56</v>
      </c>
    </row>
    <row r="7">
      <c r="A7" s="18"/>
      <c r="B7" s="18"/>
      <c r="C7" s="18"/>
      <c r="D7" s="18"/>
      <c r="E7" s="19" t="s">
        <v>54</v>
      </c>
      <c r="F7" s="19" t="s">
        <v>55</v>
      </c>
      <c r="G7" s="18"/>
    </row>
    <row r="8">
      <c r="A8" s="20">
        <v>1.0</v>
      </c>
      <c r="B8" s="22" t="str">
        <f>IFERROR(__xludf.DUMMYFUNCTION("QUERY(IMPORTRANGE($A$1,""Form Responses 1!A2:G""),""select Col2 where Col5='Februari'"")"),"#N/A")</f>
        <v>#N/A</v>
      </c>
      <c r="C8" s="22" t="str">
        <f>IFERROR(__xludf.DUMMYFUNCTION("QUERY(IMPORTRANGE($A$1,""Form Responses 1!A2:G""),""select Col3 where Col5='Februari'"")"),"#N/A")</f>
        <v>#N/A</v>
      </c>
      <c r="D8" s="23" t="str">
        <f>IFERROR(__xludf.DUMMYFUNCTION("QUERY(IMPORTRANGE($A$1,""Form Responses 1!A2:G""),""select Col4 where Col5='Februari'"")"),"#N/A")</f>
        <v>#N/A</v>
      </c>
      <c r="E8" s="24" t="str">
        <f>IFERROR(__xludf.DUMMYFUNCTION("QUERY(IMPORTRANGE($A$1,""Form Responses 1!A2:G""),""select Col6 where Col5='Februari'"")"),"#N/A")</f>
        <v>#N/A</v>
      </c>
      <c r="F8" s="24" t="str">
        <f>IFERROR(__xludf.DUMMYFUNCTION("QUERY(IMPORTRANGE($A$1,""Form Responses 1!A2:G""),""select Col7 where Col5='Februari'"")"),"#N/A")</f>
        <v>#N/A</v>
      </c>
      <c r="G8" s="23"/>
    </row>
    <row r="9">
      <c r="A9" s="20">
        <v>2.0</v>
      </c>
      <c r="B9" s="22"/>
      <c r="C9" s="22"/>
      <c r="D9" s="23"/>
      <c r="E9" s="24"/>
      <c r="F9" s="24"/>
      <c r="G9" s="23"/>
    </row>
    <row r="10">
      <c r="A10" s="20">
        <v>3.0</v>
      </c>
      <c r="B10" s="22"/>
      <c r="C10" s="22"/>
      <c r="D10" s="23"/>
      <c r="E10" s="24"/>
      <c r="F10" s="24"/>
      <c r="G10" s="23"/>
    </row>
    <row r="11">
      <c r="A11" s="20">
        <v>4.0</v>
      </c>
      <c r="B11" s="22"/>
      <c r="C11" s="22"/>
      <c r="D11" s="23"/>
      <c r="E11" s="24"/>
      <c r="F11" s="24"/>
      <c r="G11" s="23"/>
    </row>
    <row r="12">
      <c r="A12" s="20">
        <v>5.0</v>
      </c>
      <c r="B12" s="22"/>
      <c r="C12" s="22"/>
      <c r="D12" s="23"/>
      <c r="E12" s="24"/>
      <c r="F12" s="24"/>
      <c r="G12" s="23"/>
    </row>
    <row r="13">
      <c r="A13" s="20">
        <v>6.0</v>
      </c>
      <c r="B13" s="22"/>
      <c r="C13" s="22"/>
      <c r="D13" s="23"/>
      <c r="E13" s="24"/>
      <c r="F13" s="24"/>
      <c r="G13" s="23"/>
    </row>
    <row r="14">
      <c r="A14" s="20">
        <v>7.0</v>
      </c>
      <c r="B14" s="22"/>
      <c r="C14" s="22"/>
      <c r="D14" s="23"/>
      <c r="E14" s="24"/>
      <c r="F14" s="24"/>
      <c r="G14" s="23"/>
    </row>
    <row r="15">
      <c r="A15" s="20">
        <v>8.0</v>
      </c>
      <c r="B15" s="22"/>
      <c r="C15" s="22"/>
      <c r="D15" s="23"/>
      <c r="E15" s="24"/>
      <c r="F15" s="24"/>
      <c r="G15" s="23"/>
    </row>
    <row r="16">
      <c r="A16" s="20">
        <v>9.0</v>
      </c>
      <c r="B16" s="22"/>
      <c r="C16" s="22"/>
      <c r="D16" s="23"/>
      <c r="E16" s="24"/>
      <c r="F16" s="24"/>
      <c r="G16" s="23"/>
    </row>
    <row r="17">
      <c r="A17" s="20">
        <v>10.0</v>
      </c>
      <c r="B17" s="22"/>
      <c r="C17" s="22"/>
      <c r="D17" s="23"/>
      <c r="E17" s="24"/>
      <c r="F17" s="24"/>
      <c r="G17" s="23"/>
    </row>
    <row r="18">
      <c r="A18" s="20">
        <v>11.0</v>
      </c>
      <c r="B18" s="22"/>
      <c r="C18" s="22"/>
      <c r="D18" s="23"/>
      <c r="E18" s="24"/>
      <c r="F18" s="24"/>
      <c r="G18" s="23"/>
    </row>
    <row r="19">
      <c r="A19" s="20">
        <v>12.0</v>
      </c>
      <c r="B19" s="22"/>
      <c r="C19" s="22"/>
      <c r="D19" s="23"/>
      <c r="E19" s="24"/>
      <c r="F19" s="24"/>
      <c r="G19" s="23"/>
    </row>
    <row r="20">
      <c r="A20" s="20">
        <v>13.0</v>
      </c>
      <c r="B20" s="22"/>
      <c r="C20" s="22"/>
      <c r="D20" s="23"/>
      <c r="E20" s="24"/>
      <c r="F20" s="24"/>
      <c r="G20" s="23"/>
    </row>
    <row r="21">
      <c r="A21" s="20">
        <v>14.0</v>
      </c>
      <c r="B21" s="22"/>
      <c r="C21" s="22"/>
      <c r="D21" s="23"/>
      <c r="E21" s="24"/>
      <c r="F21" s="24"/>
      <c r="G21" s="23"/>
    </row>
    <row r="22">
      <c r="A22" s="20">
        <v>15.0</v>
      </c>
      <c r="B22" s="22"/>
      <c r="C22" s="22"/>
      <c r="D22" s="23"/>
      <c r="E22" s="24"/>
      <c r="F22" s="24"/>
      <c r="G22" s="23"/>
    </row>
    <row r="23">
      <c r="A23" s="20">
        <v>16.0</v>
      </c>
      <c r="B23" s="22"/>
      <c r="C23" s="22"/>
      <c r="D23" s="23"/>
      <c r="E23" s="24"/>
      <c r="F23" s="24"/>
      <c r="G23" s="23"/>
    </row>
    <row r="24">
      <c r="A24" s="20">
        <v>17.0</v>
      </c>
      <c r="B24" s="22"/>
      <c r="C24" s="22"/>
      <c r="D24" s="23"/>
      <c r="E24" s="24"/>
      <c r="F24" s="24"/>
      <c r="G24" s="23"/>
    </row>
    <row r="25">
      <c r="A25" s="20">
        <v>18.0</v>
      </c>
      <c r="B25" s="22"/>
      <c r="C25" s="22"/>
      <c r="D25" s="23"/>
      <c r="E25" s="24"/>
      <c r="F25" s="24"/>
      <c r="G25" s="23"/>
    </row>
    <row r="26">
      <c r="A26" s="20">
        <v>19.0</v>
      </c>
      <c r="B26" s="22"/>
      <c r="C26" s="22"/>
      <c r="D26" s="23"/>
      <c r="E26" s="24"/>
      <c r="F26" s="24"/>
      <c r="G26" s="23"/>
    </row>
    <row r="27">
      <c r="A27" s="20">
        <v>20.0</v>
      </c>
      <c r="B27" s="22"/>
      <c r="C27" s="22"/>
      <c r="D27" s="23"/>
      <c r="E27" s="24"/>
      <c r="F27" s="24"/>
      <c r="G27" s="23"/>
    </row>
    <row r="28">
      <c r="A28" s="20">
        <v>21.0</v>
      </c>
      <c r="B28" s="22"/>
      <c r="C28" s="22"/>
      <c r="D28" s="23"/>
      <c r="E28" s="24"/>
      <c r="F28" s="24"/>
      <c r="G28" s="23"/>
    </row>
    <row r="29">
      <c r="A29" s="20">
        <v>22.0</v>
      </c>
      <c r="B29" s="22"/>
      <c r="C29" s="22"/>
      <c r="D29" s="23"/>
      <c r="E29" s="24"/>
      <c r="F29" s="24"/>
      <c r="G29" s="23"/>
    </row>
    <row r="30">
      <c r="A30" s="20">
        <v>23.0</v>
      </c>
      <c r="B30" s="22"/>
      <c r="C30" s="22"/>
      <c r="D30" s="23"/>
      <c r="E30" s="24"/>
      <c r="F30" s="24"/>
      <c r="G30" s="23"/>
    </row>
    <row r="31">
      <c r="A31" s="20">
        <v>24.0</v>
      </c>
      <c r="B31" s="22"/>
      <c r="C31" s="22"/>
      <c r="D31" s="23"/>
      <c r="E31" s="24"/>
      <c r="F31" s="24"/>
      <c r="G31" s="23"/>
    </row>
    <row r="32">
      <c r="A32" s="20">
        <v>25.0</v>
      </c>
      <c r="B32" s="22"/>
      <c r="C32" s="22"/>
      <c r="D32" s="23"/>
      <c r="E32" s="24"/>
      <c r="F32" s="24"/>
      <c r="G32" s="23"/>
    </row>
    <row r="33">
      <c r="A33" s="20">
        <v>26.0</v>
      </c>
      <c r="B33" s="22"/>
      <c r="C33" s="22"/>
      <c r="D33" s="23"/>
      <c r="E33" s="24"/>
      <c r="F33" s="24"/>
      <c r="G33" s="23"/>
    </row>
    <row r="34">
      <c r="A34" s="20">
        <v>27.0</v>
      </c>
      <c r="B34" s="22"/>
      <c r="C34" s="22"/>
      <c r="D34" s="23"/>
      <c r="E34" s="24"/>
      <c r="F34" s="24"/>
      <c r="G34" s="23"/>
    </row>
    <row r="35">
      <c r="A35" s="20">
        <v>28.0</v>
      </c>
      <c r="B35" s="22"/>
      <c r="C35" s="22"/>
      <c r="D35" s="23"/>
      <c r="E35" s="24"/>
      <c r="F35" s="24"/>
      <c r="G35" s="23"/>
    </row>
    <row r="36">
      <c r="A36" s="20">
        <v>29.0</v>
      </c>
      <c r="B36" s="22"/>
      <c r="C36" s="22"/>
      <c r="D36" s="23"/>
      <c r="E36" s="24"/>
      <c r="F36" s="24"/>
      <c r="G36" s="23"/>
    </row>
    <row r="37">
      <c r="A37" s="20">
        <v>30.0</v>
      </c>
      <c r="B37" s="22"/>
      <c r="C37" s="22"/>
      <c r="D37" s="23"/>
      <c r="E37" s="24"/>
      <c r="F37" s="24"/>
      <c r="G37" s="23"/>
    </row>
    <row r="38">
      <c r="A38" s="20">
        <v>31.0</v>
      </c>
      <c r="B38" s="22"/>
      <c r="C38" s="22"/>
      <c r="D38" s="23"/>
      <c r="E38" s="24"/>
      <c r="F38" s="24"/>
      <c r="G38" s="23"/>
    </row>
    <row r="39">
      <c r="A39" s="20">
        <v>32.0</v>
      </c>
      <c r="B39" s="22"/>
      <c r="C39" s="22"/>
      <c r="D39" s="23"/>
      <c r="E39" s="24"/>
      <c r="F39" s="24"/>
      <c r="G39" s="23"/>
    </row>
    <row r="40">
      <c r="A40" s="20">
        <v>33.0</v>
      </c>
      <c r="B40" s="22"/>
      <c r="C40" s="22"/>
      <c r="D40" s="23"/>
      <c r="E40" s="24"/>
      <c r="F40" s="24"/>
      <c r="G40" s="23"/>
    </row>
    <row r="41">
      <c r="A41" s="20">
        <v>34.0</v>
      </c>
      <c r="B41" s="22"/>
      <c r="C41" s="22"/>
      <c r="D41" s="23"/>
      <c r="E41" s="24"/>
      <c r="F41" s="24"/>
      <c r="G41" s="23"/>
    </row>
    <row r="42">
      <c r="A42" s="20">
        <v>35.0</v>
      </c>
      <c r="B42" s="22"/>
      <c r="C42" s="22"/>
      <c r="D42" s="23"/>
      <c r="E42" s="24"/>
      <c r="F42" s="24"/>
      <c r="G42" s="23"/>
    </row>
    <row r="43">
      <c r="A43" s="20">
        <v>36.0</v>
      </c>
      <c r="B43" s="22"/>
      <c r="C43" s="22"/>
      <c r="D43" s="23"/>
      <c r="E43" s="24"/>
      <c r="F43" s="24"/>
      <c r="G43" s="23"/>
    </row>
    <row r="44">
      <c r="A44" s="20">
        <v>37.0</v>
      </c>
      <c r="B44" s="22"/>
      <c r="C44" s="22"/>
      <c r="D44" s="23"/>
      <c r="E44" s="24"/>
      <c r="F44" s="24"/>
      <c r="G44" s="23"/>
    </row>
    <row r="45">
      <c r="A45" s="20">
        <v>38.0</v>
      </c>
      <c r="B45" s="29"/>
      <c r="C45" s="29"/>
      <c r="D45" s="29"/>
      <c r="E45" s="29"/>
      <c r="F45" s="29"/>
      <c r="G45" s="29"/>
    </row>
    <row r="46">
      <c r="A46" s="20">
        <v>39.0</v>
      </c>
      <c r="B46" s="29"/>
      <c r="C46" s="29"/>
      <c r="D46" s="29"/>
      <c r="E46" s="29"/>
      <c r="F46" s="29"/>
      <c r="G46" s="29"/>
    </row>
    <row r="47">
      <c r="A47" s="20">
        <v>40.0</v>
      </c>
      <c r="B47" s="29"/>
      <c r="C47" s="29"/>
      <c r="D47" s="29"/>
      <c r="E47" s="29"/>
      <c r="F47" s="29"/>
      <c r="G47" s="29"/>
    </row>
    <row r="48">
      <c r="A48" s="20">
        <v>41.0</v>
      </c>
      <c r="B48" s="29"/>
      <c r="C48" s="29"/>
      <c r="D48" s="29"/>
      <c r="E48" s="29"/>
      <c r="F48" s="29"/>
      <c r="G48" s="29"/>
    </row>
    <row r="49">
      <c r="A49" s="20">
        <v>42.0</v>
      </c>
      <c r="B49" s="29"/>
      <c r="C49" s="29"/>
      <c r="D49" s="29"/>
      <c r="E49" s="29"/>
      <c r="F49" s="29"/>
      <c r="G49" s="29"/>
    </row>
    <row r="50">
      <c r="A50" s="20">
        <v>43.0</v>
      </c>
      <c r="B50" s="29"/>
      <c r="C50" s="29"/>
      <c r="D50" s="29"/>
      <c r="E50" s="29"/>
      <c r="F50" s="29"/>
      <c r="G50" s="29"/>
    </row>
    <row r="51">
      <c r="A51" s="20">
        <v>44.0</v>
      </c>
      <c r="B51" s="29"/>
      <c r="C51" s="29"/>
      <c r="D51" s="29"/>
      <c r="E51" s="29"/>
      <c r="F51" s="29"/>
      <c r="G51" s="29"/>
    </row>
    <row r="52">
      <c r="A52" s="20">
        <v>45.0</v>
      </c>
      <c r="B52" s="29"/>
      <c r="C52" s="29"/>
      <c r="D52" s="29"/>
      <c r="E52" s="29"/>
      <c r="F52" s="29"/>
      <c r="G52" s="29"/>
    </row>
    <row r="53">
      <c r="A53" s="20">
        <v>46.0</v>
      </c>
      <c r="B53" s="29"/>
      <c r="C53" s="29"/>
      <c r="D53" s="29"/>
      <c r="E53" s="29"/>
      <c r="F53" s="29"/>
      <c r="G53" s="29"/>
    </row>
    <row r="54">
      <c r="A54" s="20">
        <v>47.0</v>
      </c>
      <c r="B54" s="29"/>
      <c r="C54" s="29"/>
      <c r="D54" s="29"/>
      <c r="E54" s="29"/>
      <c r="F54" s="29"/>
      <c r="G54" s="29"/>
    </row>
    <row r="55">
      <c r="A55" s="20">
        <v>48.0</v>
      </c>
      <c r="B55" s="29"/>
      <c r="C55" s="29"/>
      <c r="D55" s="29"/>
      <c r="E55" s="29"/>
      <c r="F55" s="29"/>
      <c r="G55" s="29"/>
    </row>
    <row r="56">
      <c r="A56" s="20">
        <v>49.0</v>
      </c>
      <c r="B56" s="29"/>
      <c r="C56" s="29"/>
      <c r="D56" s="29"/>
      <c r="E56" s="29"/>
      <c r="F56" s="29"/>
      <c r="G56" s="29"/>
    </row>
    <row r="57">
      <c r="A57" s="20">
        <v>50.0</v>
      </c>
      <c r="B57" s="29"/>
      <c r="C57" s="29"/>
      <c r="D57" s="29"/>
      <c r="E57" s="29"/>
      <c r="F57" s="29"/>
      <c r="G57" s="29"/>
    </row>
    <row r="58">
      <c r="A58" s="20">
        <v>51.0</v>
      </c>
      <c r="B58" s="29"/>
      <c r="C58" s="29"/>
      <c r="D58" s="29"/>
      <c r="E58" s="29"/>
      <c r="F58" s="29"/>
      <c r="G58" s="29"/>
    </row>
    <row r="59">
      <c r="A59" s="20">
        <v>52.0</v>
      </c>
      <c r="B59" s="29"/>
      <c r="C59" s="29"/>
      <c r="D59" s="29"/>
      <c r="E59" s="29"/>
      <c r="F59" s="29"/>
      <c r="G59" s="29"/>
    </row>
    <row r="60">
      <c r="A60" s="20">
        <v>53.0</v>
      </c>
      <c r="B60" s="29"/>
      <c r="C60" s="29"/>
      <c r="D60" s="29"/>
      <c r="E60" s="29"/>
      <c r="F60" s="29"/>
      <c r="G60" s="29"/>
    </row>
    <row r="61">
      <c r="A61" s="20">
        <v>54.0</v>
      </c>
      <c r="B61" s="29"/>
      <c r="C61" s="29"/>
      <c r="D61" s="29"/>
      <c r="E61" s="29"/>
      <c r="F61" s="29"/>
      <c r="G61" s="29"/>
    </row>
    <row r="62">
      <c r="A62" s="20">
        <v>55.0</v>
      </c>
      <c r="B62" s="29"/>
      <c r="C62" s="29"/>
      <c r="D62" s="29"/>
      <c r="E62" s="29"/>
      <c r="F62" s="29"/>
      <c r="G62" s="29"/>
    </row>
    <row r="63">
      <c r="A63" s="20">
        <v>56.0</v>
      </c>
      <c r="B63" s="29"/>
      <c r="C63" s="29"/>
      <c r="D63" s="29"/>
      <c r="E63" s="29"/>
      <c r="F63" s="29"/>
      <c r="G63" s="29"/>
    </row>
  </sheetData>
  <mergeCells count="8">
    <mergeCell ref="A3:G3"/>
    <mergeCell ref="A4:G4"/>
    <mergeCell ref="A6:A7"/>
    <mergeCell ref="B6:B7"/>
    <mergeCell ref="C6:C7"/>
    <mergeCell ref="D6:D7"/>
    <mergeCell ref="E6:F6"/>
    <mergeCell ref="G6:G7"/>
  </mergeCells>
  <hyperlinks>
    <hyperlink r:id="rId1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8.75"/>
    <col customWidth="1" min="3" max="3" width="21.25"/>
    <col customWidth="1" min="4" max="4" width="19.5"/>
    <col customWidth="1" min="5" max="5" width="12.25"/>
    <col customWidth="1" min="6" max="6" width="11.0"/>
    <col customWidth="1" min="7" max="7" width="17.75"/>
  </cols>
  <sheetData>
    <row r="1">
      <c r="A1" s="6" t="s">
        <v>49</v>
      </c>
    </row>
    <row r="3">
      <c r="A3" s="8" t="s">
        <v>50</v>
      </c>
    </row>
    <row r="4">
      <c r="A4" s="8" t="s">
        <v>51</v>
      </c>
    </row>
    <row r="6">
      <c r="A6" s="14" t="s">
        <v>52</v>
      </c>
      <c r="B6" s="15" t="s">
        <v>53</v>
      </c>
      <c r="C6" s="14" t="s">
        <v>2</v>
      </c>
      <c r="D6" s="14" t="s">
        <v>3</v>
      </c>
      <c r="E6" s="16" t="s">
        <v>57</v>
      </c>
      <c r="F6" s="17"/>
      <c r="G6" s="14" t="s">
        <v>56</v>
      </c>
    </row>
    <row r="7">
      <c r="A7" s="18"/>
      <c r="B7" s="18"/>
      <c r="C7" s="18"/>
      <c r="D7" s="18"/>
      <c r="E7" s="19" t="s">
        <v>54</v>
      </c>
      <c r="F7" s="19" t="s">
        <v>55</v>
      </c>
      <c r="G7" s="18"/>
    </row>
    <row r="8">
      <c r="A8" s="20">
        <v>1.0</v>
      </c>
      <c r="B8" s="22" t="str">
        <f>IFERROR(__xludf.DUMMYFUNCTION("QUERY(IMPORTRANGE($A$1,""Form Responses 1!A2:G""),""select Col2 where Col5='Maret'"")"),"#N/A")</f>
        <v>#N/A</v>
      </c>
      <c r="C8" s="22" t="str">
        <f>IFERROR(__xludf.DUMMYFUNCTION("QUERY(IMPORTRANGE($A$1,""Form Responses 1!A2:G""),""select Col3 where Col5='Maret'"")"),"#N/A")</f>
        <v>#N/A</v>
      </c>
      <c r="D8" s="23" t="str">
        <f>IFERROR(__xludf.DUMMYFUNCTION("QUERY(IMPORTRANGE($A$1,""Form Responses 1!A2:G""),""select Col4 where Col5='Maret'"")"),"#N/A")</f>
        <v>#N/A</v>
      </c>
      <c r="E8" s="24" t="str">
        <f>IFERROR(__xludf.DUMMYFUNCTION("QUERY(IMPORTRANGE($A$1,""Form Responses 1!A2:G""),""select Col6 where Col5='Maret'"")"),"#N/A")</f>
        <v>#N/A</v>
      </c>
      <c r="F8" s="24" t="str">
        <f>IFERROR(__xludf.DUMMYFUNCTION("QUERY(IMPORTRANGE($A$1,""Form Responses 1!A2:G""),""select Col7 where Col5='Maret'"")"),"#N/A")</f>
        <v>#N/A</v>
      </c>
      <c r="G8" s="23"/>
    </row>
    <row r="9">
      <c r="A9" s="20">
        <v>2.0</v>
      </c>
      <c r="B9" s="22"/>
      <c r="C9" s="22"/>
      <c r="D9" s="23"/>
      <c r="E9" s="24"/>
      <c r="F9" s="24"/>
      <c r="G9" s="23"/>
    </row>
    <row r="10">
      <c r="A10" s="20">
        <v>3.0</v>
      </c>
      <c r="B10" s="22"/>
      <c r="C10" s="22"/>
      <c r="D10" s="23"/>
      <c r="E10" s="24"/>
      <c r="F10" s="24"/>
      <c r="G10" s="23"/>
    </row>
    <row r="11">
      <c r="A11" s="20">
        <v>4.0</v>
      </c>
      <c r="B11" s="22"/>
      <c r="C11" s="22"/>
      <c r="D11" s="23"/>
      <c r="E11" s="24"/>
      <c r="F11" s="24"/>
      <c r="G11" s="23"/>
    </row>
    <row r="12">
      <c r="A12" s="20">
        <v>5.0</v>
      </c>
      <c r="B12" s="22"/>
      <c r="C12" s="22"/>
      <c r="D12" s="23"/>
      <c r="E12" s="24"/>
      <c r="F12" s="24"/>
      <c r="G12" s="23"/>
    </row>
    <row r="13">
      <c r="A13" s="20">
        <v>6.0</v>
      </c>
      <c r="B13" s="22"/>
      <c r="C13" s="22"/>
      <c r="D13" s="23"/>
      <c r="E13" s="24"/>
      <c r="F13" s="24"/>
      <c r="G13" s="23"/>
    </row>
    <row r="14">
      <c r="A14" s="20">
        <v>7.0</v>
      </c>
      <c r="B14" s="22"/>
      <c r="C14" s="22"/>
      <c r="D14" s="23"/>
      <c r="E14" s="24"/>
      <c r="F14" s="24"/>
      <c r="G14" s="23"/>
    </row>
    <row r="15">
      <c r="A15" s="20">
        <v>8.0</v>
      </c>
      <c r="B15" s="22"/>
      <c r="C15" s="22"/>
      <c r="D15" s="23"/>
      <c r="E15" s="24"/>
      <c r="F15" s="24"/>
      <c r="G15" s="23"/>
    </row>
    <row r="16">
      <c r="A16" s="20">
        <v>9.0</v>
      </c>
      <c r="B16" s="22"/>
      <c r="C16" s="22"/>
      <c r="D16" s="23"/>
      <c r="E16" s="24"/>
      <c r="F16" s="24"/>
      <c r="G16" s="23"/>
    </row>
    <row r="17">
      <c r="A17" s="20">
        <v>10.0</v>
      </c>
      <c r="B17" s="22"/>
      <c r="C17" s="22"/>
      <c r="D17" s="23"/>
      <c r="E17" s="24"/>
      <c r="F17" s="24"/>
      <c r="G17" s="23"/>
    </row>
    <row r="18">
      <c r="A18" s="20">
        <v>11.0</v>
      </c>
      <c r="B18" s="22"/>
      <c r="C18" s="22"/>
      <c r="D18" s="23"/>
      <c r="E18" s="24"/>
      <c r="F18" s="24"/>
      <c r="G18" s="23"/>
    </row>
    <row r="19">
      <c r="A19" s="20">
        <v>12.0</v>
      </c>
      <c r="B19" s="22"/>
      <c r="C19" s="22"/>
      <c r="D19" s="23"/>
      <c r="E19" s="24"/>
      <c r="F19" s="24"/>
      <c r="G19" s="23"/>
    </row>
    <row r="20">
      <c r="A20" s="20">
        <v>13.0</v>
      </c>
      <c r="B20" s="22"/>
      <c r="C20" s="22"/>
      <c r="D20" s="23"/>
      <c r="E20" s="24"/>
      <c r="F20" s="24"/>
      <c r="G20" s="23"/>
    </row>
    <row r="21">
      <c r="A21" s="20">
        <v>14.0</v>
      </c>
      <c r="B21" s="22"/>
      <c r="C21" s="22"/>
      <c r="D21" s="23"/>
      <c r="E21" s="24"/>
      <c r="F21" s="24"/>
      <c r="G21" s="23"/>
    </row>
    <row r="22">
      <c r="A22" s="20">
        <v>15.0</v>
      </c>
      <c r="B22" s="22"/>
      <c r="C22" s="22"/>
      <c r="D22" s="23"/>
      <c r="E22" s="24"/>
      <c r="F22" s="24"/>
      <c r="G22" s="23"/>
    </row>
    <row r="23">
      <c r="A23" s="20">
        <v>16.0</v>
      </c>
      <c r="B23" s="22"/>
      <c r="C23" s="22"/>
      <c r="D23" s="23"/>
      <c r="E23" s="24"/>
      <c r="F23" s="24"/>
      <c r="G23" s="23"/>
    </row>
    <row r="24">
      <c r="A24" s="20">
        <v>17.0</v>
      </c>
      <c r="B24" s="22"/>
      <c r="C24" s="22"/>
      <c r="D24" s="23"/>
      <c r="E24" s="24"/>
      <c r="F24" s="24"/>
      <c r="G24" s="23"/>
    </row>
    <row r="25">
      <c r="A25" s="20">
        <v>18.0</v>
      </c>
      <c r="B25" s="22"/>
      <c r="C25" s="22"/>
      <c r="D25" s="23"/>
      <c r="E25" s="24"/>
      <c r="F25" s="24"/>
      <c r="G25" s="23"/>
    </row>
    <row r="26">
      <c r="A26" s="20">
        <v>19.0</v>
      </c>
      <c r="B26" s="22"/>
      <c r="C26" s="22"/>
      <c r="D26" s="23"/>
      <c r="E26" s="24"/>
      <c r="F26" s="24"/>
      <c r="G26" s="23"/>
    </row>
    <row r="27">
      <c r="A27" s="20">
        <v>20.0</v>
      </c>
      <c r="B27" s="22"/>
      <c r="C27" s="22"/>
      <c r="D27" s="23"/>
      <c r="E27" s="24"/>
      <c r="F27" s="24"/>
      <c r="G27" s="23"/>
    </row>
    <row r="28">
      <c r="A28" s="20">
        <v>21.0</v>
      </c>
      <c r="B28" s="22"/>
      <c r="C28" s="22"/>
      <c r="D28" s="23"/>
      <c r="E28" s="24"/>
      <c r="F28" s="24"/>
      <c r="G28" s="23"/>
    </row>
    <row r="29">
      <c r="A29" s="20">
        <v>22.0</v>
      </c>
      <c r="B29" s="22"/>
      <c r="C29" s="22"/>
      <c r="D29" s="23"/>
      <c r="E29" s="24"/>
      <c r="F29" s="24"/>
      <c r="G29" s="23"/>
    </row>
    <row r="30">
      <c r="A30" s="20">
        <v>23.0</v>
      </c>
      <c r="B30" s="22"/>
      <c r="C30" s="22"/>
      <c r="D30" s="23"/>
      <c r="E30" s="24"/>
      <c r="F30" s="24"/>
      <c r="G30" s="23"/>
    </row>
    <row r="31">
      <c r="A31" s="20">
        <v>24.0</v>
      </c>
      <c r="B31" s="22"/>
      <c r="C31" s="22"/>
      <c r="D31" s="23"/>
      <c r="E31" s="24"/>
      <c r="F31" s="24"/>
      <c r="G31" s="23"/>
    </row>
    <row r="32">
      <c r="A32" s="20">
        <v>25.0</v>
      </c>
      <c r="B32" s="22"/>
      <c r="C32" s="22"/>
      <c r="D32" s="23"/>
      <c r="E32" s="24"/>
      <c r="F32" s="24"/>
      <c r="G32" s="23"/>
    </row>
    <row r="33">
      <c r="A33" s="20">
        <v>26.0</v>
      </c>
      <c r="B33" s="22"/>
      <c r="C33" s="22"/>
      <c r="D33" s="23"/>
      <c r="E33" s="24"/>
      <c r="F33" s="24"/>
      <c r="G33" s="23"/>
    </row>
    <row r="34">
      <c r="A34" s="20">
        <v>27.0</v>
      </c>
      <c r="B34" s="22"/>
      <c r="C34" s="22"/>
      <c r="D34" s="23"/>
      <c r="E34" s="24"/>
      <c r="F34" s="24"/>
      <c r="G34" s="23"/>
    </row>
    <row r="35">
      <c r="A35" s="20">
        <v>28.0</v>
      </c>
      <c r="B35" s="22"/>
      <c r="C35" s="22"/>
      <c r="D35" s="23"/>
      <c r="E35" s="24"/>
      <c r="F35" s="24"/>
      <c r="G35" s="23"/>
    </row>
    <row r="36">
      <c r="A36" s="20">
        <v>29.0</v>
      </c>
      <c r="B36" s="22"/>
      <c r="C36" s="22"/>
      <c r="D36" s="23"/>
      <c r="E36" s="24"/>
      <c r="F36" s="24"/>
      <c r="G36" s="23"/>
    </row>
    <row r="37">
      <c r="A37" s="20">
        <v>30.0</v>
      </c>
      <c r="B37" s="22"/>
      <c r="C37" s="22"/>
      <c r="D37" s="23"/>
      <c r="E37" s="24"/>
      <c r="F37" s="24"/>
      <c r="G37" s="23"/>
    </row>
    <row r="38">
      <c r="A38" s="20">
        <v>31.0</v>
      </c>
      <c r="B38" s="22"/>
      <c r="C38" s="22"/>
      <c r="D38" s="23"/>
      <c r="E38" s="24"/>
      <c r="F38" s="24"/>
      <c r="G38" s="23"/>
    </row>
    <row r="39">
      <c r="A39" s="20">
        <v>32.0</v>
      </c>
      <c r="B39" s="22"/>
      <c r="C39" s="22"/>
      <c r="D39" s="23"/>
      <c r="E39" s="24"/>
      <c r="F39" s="24"/>
      <c r="G39" s="23"/>
    </row>
    <row r="40">
      <c r="A40" s="20">
        <v>33.0</v>
      </c>
      <c r="B40" s="22"/>
      <c r="C40" s="22"/>
      <c r="D40" s="23"/>
      <c r="E40" s="24"/>
      <c r="F40" s="24"/>
      <c r="G40" s="23"/>
    </row>
    <row r="41">
      <c r="A41" s="20">
        <v>34.0</v>
      </c>
      <c r="B41" s="22"/>
      <c r="C41" s="22"/>
      <c r="D41" s="23"/>
      <c r="E41" s="24"/>
      <c r="F41" s="24"/>
      <c r="G41" s="23"/>
    </row>
    <row r="42">
      <c r="A42" s="20">
        <v>35.0</v>
      </c>
      <c r="B42" s="22"/>
      <c r="C42" s="22"/>
      <c r="D42" s="23"/>
      <c r="E42" s="24"/>
      <c r="F42" s="24"/>
      <c r="G42" s="23"/>
    </row>
    <row r="43">
      <c r="A43" s="20">
        <v>36.0</v>
      </c>
      <c r="B43" s="22"/>
      <c r="C43" s="22"/>
      <c r="D43" s="23"/>
      <c r="E43" s="24"/>
      <c r="F43" s="24"/>
      <c r="G43" s="23"/>
    </row>
    <row r="44">
      <c r="A44" s="20">
        <v>37.0</v>
      </c>
      <c r="B44" s="22"/>
      <c r="C44" s="22"/>
      <c r="D44" s="23"/>
      <c r="E44" s="24"/>
      <c r="F44" s="24"/>
      <c r="G44" s="23"/>
    </row>
  </sheetData>
  <mergeCells count="8">
    <mergeCell ref="A3:G3"/>
    <mergeCell ref="A4:G4"/>
    <mergeCell ref="A6:A7"/>
    <mergeCell ref="B6:B7"/>
    <mergeCell ref="C6:C7"/>
    <mergeCell ref="D6:D7"/>
    <mergeCell ref="E6:F6"/>
    <mergeCell ref="G6:G7"/>
  </mergeCells>
  <hyperlinks>
    <hyperlink r:id="rId1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8.75"/>
    <col customWidth="1" min="3" max="3" width="21.25"/>
    <col customWidth="1" min="4" max="4" width="19.5"/>
    <col customWidth="1" min="5" max="5" width="12.25"/>
    <col customWidth="1" min="6" max="6" width="11.0"/>
    <col customWidth="1" min="7" max="7" width="17.75"/>
  </cols>
  <sheetData>
    <row r="1">
      <c r="A1" s="6" t="s">
        <v>49</v>
      </c>
    </row>
    <row r="3">
      <c r="A3" s="8" t="s">
        <v>50</v>
      </c>
    </row>
    <row r="4">
      <c r="A4" s="8" t="s">
        <v>51</v>
      </c>
    </row>
    <row r="6">
      <c r="A6" s="14" t="s">
        <v>52</v>
      </c>
      <c r="B6" s="15" t="s">
        <v>53</v>
      </c>
      <c r="C6" s="14" t="s">
        <v>2</v>
      </c>
      <c r="D6" s="14" t="s">
        <v>3</v>
      </c>
      <c r="E6" s="16" t="s">
        <v>57</v>
      </c>
      <c r="F6" s="17"/>
      <c r="G6" s="14" t="s">
        <v>56</v>
      </c>
    </row>
    <row r="7">
      <c r="A7" s="18"/>
      <c r="B7" s="18"/>
      <c r="C7" s="18"/>
      <c r="D7" s="18"/>
      <c r="E7" s="19" t="s">
        <v>54</v>
      </c>
      <c r="F7" s="19" t="s">
        <v>55</v>
      </c>
      <c r="G7" s="18"/>
    </row>
    <row r="8">
      <c r="A8" s="20">
        <v>1.0</v>
      </c>
      <c r="B8" s="22" t="str">
        <f>IFERROR(__xludf.DUMMYFUNCTION("QUERY(IMPORTRANGE($A$1,""Form Responses 1!A2:G""),""select Col2 where Col5='April'"")"),"#N/A")</f>
        <v>#N/A</v>
      </c>
      <c r="C8" s="22" t="str">
        <f>IFERROR(__xludf.DUMMYFUNCTION("QUERY(IMPORTRANGE($A$1,""Form Responses 1!A2:G""),""select Col3 where Col5='April'"")"),"#N/A")</f>
        <v>#N/A</v>
      </c>
      <c r="D8" s="23" t="str">
        <f>IFERROR(__xludf.DUMMYFUNCTION("QUERY(IMPORTRANGE($A$1,""Form Responses 1!A2:G""),""select Col4 where Col5='April'"")"),"#N/A")</f>
        <v>#N/A</v>
      </c>
      <c r="E8" s="24" t="str">
        <f>IFERROR(__xludf.DUMMYFUNCTION("QUERY(IMPORTRANGE($A$1,""Form Responses 1!A2:G""),""select Col6 where Col5='April'"")"),"#N/A")</f>
        <v>#N/A</v>
      </c>
      <c r="F8" s="24" t="str">
        <f>IFERROR(__xludf.DUMMYFUNCTION("QUERY(IMPORTRANGE($A$1,""Form Responses 1!A2:G""),""select Col7 where Col5='April'"")"),"#N/A")</f>
        <v>#N/A</v>
      </c>
      <c r="G8" s="23"/>
    </row>
    <row r="9">
      <c r="A9" s="20">
        <v>2.0</v>
      </c>
      <c r="B9" s="22"/>
      <c r="C9" s="22"/>
      <c r="D9" s="23"/>
      <c r="E9" s="24"/>
      <c r="F9" s="24"/>
      <c r="G9" s="23"/>
    </row>
    <row r="10">
      <c r="A10" s="20">
        <v>3.0</v>
      </c>
      <c r="B10" s="22"/>
      <c r="C10" s="22"/>
      <c r="D10" s="23"/>
      <c r="E10" s="24"/>
      <c r="F10" s="24"/>
      <c r="G10" s="23"/>
    </row>
    <row r="11">
      <c r="A11" s="20">
        <v>4.0</v>
      </c>
      <c r="B11" s="22"/>
      <c r="C11" s="22"/>
      <c r="D11" s="23"/>
      <c r="E11" s="24"/>
      <c r="F11" s="24"/>
      <c r="G11" s="23"/>
    </row>
    <row r="12">
      <c r="A12" s="20">
        <v>5.0</v>
      </c>
      <c r="C12" s="22"/>
      <c r="D12" s="23"/>
      <c r="E12" s="24"/>
      <c r="F12" s="24"/>
      <c r="G12" s="23"/>
    </row>
    <row r="13">
      <c r="A13" s="20">
        <v>6.0</v>
      </c>
      <c r="B13" s="22"/>
      <c r="C13" s="22"/>
      <c r="D13" s="23"/>
      <c r="E13" s="24"/>
      <c r="F13" s="24"/>
      <c r="G13" s="23"/>
    </row>
    <row r="14">
      <c r="A14" s="20">
        <v>7.0</v>
      </c>
      <c r="B14" s="22"/>
      <c r="C14" s="22"/>
      <c r="D14" s="23"/>
      <c r="E14" s="24"/>
      <c r="F14" s="24"/>
      <c r="G14" s="23"/>
    </row>
    <row r="15">
      <c r="A15" s="20">
        <v>8.0</v>
      </c>
      <c r="B15" s="22"/>
      <c r="C15" s="22"/>
      <c r="D15" s="23"/>
      <c r="E15" s="24"/>
      <c r="F15" s="24"/>
      <c r="G15" s="23"/>
    </row>
    <row r="16">
      <c r="A16" s="20">
        <v>9.0</v>
      </c>
      <c r="B16" s="22"/>
      <c r="C16" s="22"/>
      <c r="D16" s="23"/>
      <c r="E16" s="24"/>
      <c r="F16" s="24"/>
      <c r="G16" s="23"/>
    </row>
    <row r="17">
      <c r="A17" s="20">
        <v>10.0</v>
      </c>
      <c r="B17" s="22"/>
      <c r="C17" s="22"/>
      <c r="D17" s="23"/>
      <c r="E17" s="24"/>
      <c r="F17" s="24"/>
      <c r="G17" s="23"/>
    </row>
    <row r="18">
      <c r="A18" s="20">
        <v>11.0</v>
      </c>
      <c r="B18" s="22"/>
      <c r="C18" s="22"/>
      <c r="D18" s="23"/>
      <c r="E18" s="24"/>
      <c r="F18" s="24"/>
      <c r="G18" s="23"/>
    </row>
    <row r="19">
      <c r="A19" s="20">
        <v>12.0</v>
      </c>
      <c r="B19" s="22"/>
      <c r="C19" s="22"/>
      <c r="D19" s="23"/>
      <c r="E19" s="24"/>
      <c r="F19" s="24"/>
      <c r="G19" s="23"/>
    </row>
    <row r="20">
      <c r="A20" s="20">
        <v>13.0</v>
      </c>
      <c r="B20" s="22"/>
      <c r="C20" s="22"/>
      <c r="D20" s="23"/>
      <c r="E20" s="24"/>
      <c r="F20" s="24"/>
      <c r="G20" s="23"/>
    </row>
    <row r="21">
      <c r="A21" s="20">
        <v>14.0</v>
      </c>
      <c r="B21" s="22"/>
      <c r="C21" s="22"/>
      <c r="D21" s="23"/>
      <c r="E21" s="24"/>
      <c r="F21" s="24"/>
      <c r="G21" s="23"/>
    </row>
    <row r="22">
      <c r="A22" s="20">
        <v>15.0</v>
      </c>
      <c r="B22" s="22"/>
      <c r="C22" s="22"/>
      <c r="D22" s="23"/>
      <c r="E22" s="24"/>
      <c r="F22" s="24"/>
      <c r="G22" s="23"/>
    </row>
    <row r="23">
      <c r="A23" s="20">
        <v>16.0</v>
      </c>
      <c r="B23" s="22"/>
      <c r="C23" s="22"/>
      <c r="D23" s="23"/>
      <c r="E23" s="24"/>
      <c r="F23" s="24"/>
      <c r="G23" s="23"/>
    </row>
    <row r="24">
      <c r="A24" s="20">
        <v>17.0</v>
      </c>
      <c r="B24" s="22"/>
      <c r="C24" s="22"/>
      <c r="D24" s="23"/>
      <c r="E24" s="24"/>
      <c r="F24" s="24"/>
      <c r="G24" s="23"/>
    </row>
    <row r="25">
      <c r="A25" s="20">
        <v>18.0</v>
      </c>
      <c r="B25" s="22"/>
      <c r="C25" s="22"/>
      <c r="D25" s="23"/>
      <c r="E25" s="24"/>
      <c r="F25" s="24"/>
      <c r="G25" s="23"/>
    </row>
    <row r="26">
      <c r="A26" s="20">
        <v>19.0</v>
      </c>
      <c r="B26" s="22"/>
      <c r="C26" s="22"/>
      <c r="D26" s="23"/>
      <c r="E26" s="24"/>
      <c r="F26" s="24"/>
      <c r="G26" s="23"/>
    </row>
    <row r="27">
      <c r="A27" s="20">
        <v>20.0</v>
      </c>
      <c r="B27" s="22"/>
      <c r="C27" s="22"/>
      <c r="D27" s="23"/>
      <c r="E27" s="24"/>
      <c r="F27" s="24"/>
      <c r="G27" s="23"/>
    </row>
    <row r="28">
      <c r="A28" s="20">
        <v>21.0</v>
      </c>
      <c r="B28" s="22"/>
      <c r="C28" s="22"/>
      <c r="D28" s="23"/>
      <c r="E28" s="24"/>
      <c r="F28" s="24"/>
      <c r="G28" s="23"/>
    </row>
    <row r="29">
      <c r="A29" s="20">
        <v>22.0</v>
      </c>
      <c r="B29" s="22"/>
      <c r="C29" s="22"/>
      <c r="D29" s="23"/>
      <c r="E29" s="24"/>
      <c r="F29" s="24"/>
      <c r="G29" s="23"/>
    </row>
    <row r="30">
      <c r="A30" s="20">
        <v>23.0</v>
      </c>
      <c r="B30" s="22"/>
      <c r="C30" s="22"/>
      <c r="D30" s="23"/>
      <c r="E30" s="24"/>
      <c r="F30" s="24"/>
      <c r="G30" s="23"/>
    </row>
    <row r="31">
      <c r="A31" s="20">
        <v>24.0</v>
      </c>
      <c r="B31" s="22"/>
      <c r="C31" s="22"/>
      <c r="D31" s="23"/>
      <c r="E31" s="24"/>
      <c r="F31" s="24"/>
      <c r="G31" s="23"/>
    </row>
    <row r="32">
      <c r="A32" s="20">
        <v>25.0</v>
      </c>
      <c r="B32" s="22"/>
      <c r="C32" s="22"/>
      <c r="D32" s="23"/>
      <c r="E32" s="24"/>
      <c r="F32" s="24"/>
      <c r="G32" s="23"/>
    </row>
    <row r="33">
      <c r="A33" s="20">
        <v>26.0</v>
      </c>
      <c r="B33" s="22"/>
      <c r="C33" s="22"/>
      <c r="D33" s="23"/>
      <c r="E33" s="24"/>
      <c r="F33" s="24"/>
      <c r="G33" s="23"/>
    </row>
    <row r="34">
      <c r="A34" s="20">
        <v>27.0</v>
      </c>
      <c r="B34" s="22"/>
      <c r="C34" s="22"/>
      <c r="D34" s="23"/>
      <c r="E34" s="24"/>
      <c r="F34" s="24"/>
      <c r="G34" s="23"/>
    </row>
    <row r="35">
      <c r="A35" s="20">
        <v>28.0</v>
      </c>
      <c r="B35" s="22"/>
      <c r="C35" s="22"/>
      <c r="D35" s="23"/>
      <c r="E35" s="24"/>
      <c r="F35" s="24"/>
      <c r="G35" s="23"/>
    </row>
    <row r="36">
      <c r="A36" s="20">
        <v>29.0</v>
      </c>
      <c r="B36" s="22"/>
      <c r="C36" s="22"/>
      <c r="D36" s="23"/>
      <c r="E36" s="24"/>
      <c r="F36" s="24"/>
      <c r="G36" s="23"/>
    </row>
    <row r="37">
      <c r="A37" s="20">
        <v>30.0</v>
      </c>
      <c r="B37" s="22"/>
      <c r="C37" s="22"/>
      <c r="D37" s="23"/>
      <c r="E37" s="24"/>
      <c r="F37" s="24"/>
      <c r="G37" s="23"/>
    </row>
    <row r="38">
      <c r="A38" s="20">
        <v>31.0</v>
      </c>
      <c r="B38" s="22"/>
      <c r="C38" s="22"/>
      <c r="D38" s="23"/>
      <c r="E38" s="24"/>
      <c r="F38" s="24"/>
      <c r="G38" s="23"/>
    </row>
    <row r="39">
      <c r="A39" s="20">
        <v>32.0</v>
      </c>
      <c r="B39" s="22"/>
      <c r="C39" s="22"/>
      <c r="D39" s="23"/>
      <c r="E39" s="24"/>
      <c r="F39" s="24"/>
      <c r="G39" s="23"/>
    </row>
    <row r="40">
      <c r="A40" s="20">
        <v>33.0</v>
      </c>
      <c r="B40" s="22"/>
      <c r="C40" s="22"/>
      <c r="D40" s="23"/>
      <c r="E40" s="24"/>
      <c r="F40" s="24"/>
      <c r="G40" s="23"/>
    </row>
    <row r="41">
      <c r="A41" s="20">
        <v>34.0</v>
      </c>
      <c r="B41" s="22"/>
      <c r="C41" s="22"/>
      <c r="D41" s="23"/>
      <c r="E41" s="24"/>
      <c r="F41" s="24"/>
      <c r="G41" s="23"/>
    </row>
    <row r="42">
      <c r="A42" s="20">
        <v>35.0</v>
      </c>
      <c r="B42" s="22"/>
      <c r="C42" s="22"/>
      <c r="D42" s="23"/>
      <c r="E42" s="24"/>
      <c r="F42" s="24"/>
      <c r="G42" s="23"/>
    </row>
    <row r="43">
      <c r="A43" s="20">
        <v>36.0</v>
      </c>
      <c r="B43" s="22"/>
      <c r="C43" s="22"/>
      <c r="D43" s="23"/>
      <c r="E43" s="24"/>
      <c r="F43" s="24"/>
      <c r="G43" s="23"/>
    </row>
    <row r="44">
      <c r="A44" s="20">
        <v>37.0</v>
      </c>
      <c r="B44" s="22"/>
      <c r="C44" s="22"/>
      <c r="D44" s="23"/>
      <c r="E44" s="24"/>
      <c r="F44" s="24"/>
      <c r="G44" s="23"/>
    </row>
  </sheetData>
  <mergeCells count="8">
    <mergeCell ref="A3:G3"/>
    <mergeCell ref="A4:G4"/>
    <mergeCell ref="A6:A7"/>
    <mergeCell ref="B6:B7"/>
    <mergeCell ref="C6:C7"/>
    <mergeCell ref="D6:D7"/>
    <mergeCell ref="E6:F6"/>
    <mergeCell ref="G6:G7"/>
  </mergeCells>
  <hyperlinks>
    <hyperlink r:id="rId1" ref="A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8.75"/>
    <col customWidth="1" min="3" max="3" width="21.25"/>
    <col customWidth="1" min="4" max="4" width="19.5"/>
    <col customWidth="1" min="5" max="5" width="12.25"/>
    <col customWidth="1" min="6" max="6" width="11.0"/>
    <col customWidth="1" min="7" max="7" width="17.75"/>
  </cols>
  <sheetData>
    <row r="1">
      <c r="A1" s="6" t="s">
        <v>49</v>
      </c>
    </row>
    <row r="3">
      <c r="A3" s="8" t="s">
        <v>50</v>
      </c>
    </row>
    <row r="4">
      <c r="A4" s="8" t="s">
        <v>51</v>
      </c>
    </row>
    <row r="6">
      <c r="A6" s="14" t="s">
        <v>52</v>
      </c>
      <c r="B6" s="15" t="s">
        <v>53</v>
      </c>
      <c r="C6" s="14" t="s">
        <v>2</v>
      </c>
      <c r="D6" s="14" t="s">
        <v>3</v>
      </c>
      <c r="E6" s="16" t="s">
        <v>57</v>
      </c>
      <c r="F6" s="17"/>
      <c r="G6" s="14" t="s">
        <v>56</v>
      </c>
    </row>
    <row r="7">
      <c r="A7" s="18"/>
      <c r="B7" s="18"/>
      <c r="C7" s="18"/>
      <c r="D7" s="18"/>
      <c r="E7" s="19" t="s">
        <v>54</v>
      </c>
      <c r="F7" s="19" t="s">
        <v>55</v>
      </c>
      <c r="G7" s="18"/>
    </row>
    <row r="8">
      <c r="A8" s="20">
        <v>1.0</v>
      </c>
      <c r="B8" s="22" t="str">
        <f>IFERROR(__xludf.DUMMYFUNCTION("QUERY(IMPORTRANGE($A$1,""Form Responses 1!A2:G""),""select Col2 where Col5='Mei'"")"),"#N/A")</f>
        <v>#N/A</v>
      </c>
      <c r="C8" s="22" t="str">
        <f>IFERROR(__xludf.DUMMYFUNCTION("QUERY(IMPORTRANGE($A$1,""Form Responses 1!A2:G""),""select Col3 where Col5='Mei'"")"),"#N/A")</f>
        <v>#N/A</v>
      </c>
      <c r="D8" s="23" t="str">
        <f>IFERROR(__xludf.DUMMYFUNCTION("QUERY(IMPORTRANGE($A$1,""Form Responses 1!A2:G""),""select Col4 where Col5='Mei'"")"),"#N/A")</f>
        <v>#N/A</v>
      </c>
      <c r="E8" s="24" t="str">
        <f>IFERROR(__xludf.DUMMYFUNCTION("QUERY(IMPORTRANGE($A$1,""Form Responses 1!A2:G""),""select Col6 where Col5='Mei'"")"),"#N/A")</f>
        <v>#N/A</v>
      </c>
      <c r="F8" s="24" t="str">
        <f>IFERROR(__xludf.DUMMYFUNCTION("QUERY(IMPORTRANGE($A$1,""Form Responses 1!A2:G""),""select Col7 where Col5='Mei'"")"),"#N/A")</f>
        <v>#N/A</v>
      </c>
      <c r="G8" s="23"/>
    </row>
    <row r="9">
      <c r="A9" s="20">
        <v>2.0</v>
      </c>
      <c r="B9" s="22"/>
      <c r="C9" s="22"/>
      <c r="D9" s="23"/>
      <c r="E9" s="24"/>
      <c r="F9" s="24"/>
      <c r="G9" s="23"/>
    </row>
    <row r="10">
      <c r="A10" s="20">
        <v>3.0</v>
      </c>
      <c r="B10" s="22"/>
      <c r="C10" s="22"/>
      <c r="D10" s="23"/>
      <c r="E10" s="24"/>
      <c r="F10" s="24"/>
      <c r="G10" s="23"/>
    </row>
    <row r="11">
      <c r="A11" s="20">
        <v>4.0</v>
      </c>
      <c r="B11" s="22"/>
      <c r="C11" s="22"/>
      <c r="D11" s="23"/>
      <c r="E11" s="24"/>
      <c r="F11" s="24"/>
      <c r="G11" s="23"/>
    </row>
    <row r="12">
      <c r="A12" s="20">
        <v>5.0</v>
      </c>
      <c r="B12" s="22"/>
      <c r="C12" s="22"/>
      <c r="D12" s="23"/>
      <c r="E12" s="24"/>
      <c r="F12" s="24"/>
      <c r="G12" s="23"/>
    </row>
    <row r="13">
      <c r="A13" s="20">
        <v>6.0</v>
      </c>
      <c r="B13" s="22"/>
      <c r="C13" s="22"/>
      <c r="D13" s="23"/>
      <c r="E13" s="24"/>
      <c r="F13" s="24"/>
      <c r="G13" s="23"/>
    </row>
    <row r="14">
      <c r="A14" s="20">
        <v>7.0</v>
      </c>
      <c r="B14" s="22"/>
      <c r="C14" s="22"/>
      <c r="D14" s="23"/>
      <c r="E14" s="24"/>
      <c r="F14" s="24"/>
      <c r="G14" s="23"/>
    </row>
    <row r="15">
      <c r="A15" s="20">
        <v>8.0</v>
      </c>
      <c r="B15" s="22"/>
      <c r="C15" s="22"/>
      <c r="D15" s="23"/>
      <c r="E15" s="24"/>
      <c r="F15" s="24"/>
      <c r="G15" s="23"/>
    </row>
    <row r="16">
      <c r="A16" s="20">
        <v>9.0</v>
      </c>
      <c r="B16" s="22"/>
      <c r="C16" s="22"/>
      <c r="D16" s="23"/>
      <c r="E16" s="24"/>
      <c r="F16" s="24"/>
      <c r="G16" s="23"/>
    </row>
    <row r="17">
      <c r="A17" s="20">
        <v>10.0</v>
      </c>
      <c r="B17" s="22"/>
      <c r="C17" s="22"/>
      <c r="D17" s="23"/>
      <c r="E17" s="24"/>
      <c r="F17" s="24"/>
      <c r="G17" s="23"/>
    </row>
    <row r="18">
      <c r="A18" s="20">
        <v>11.0</v>
      </c>
      <c r="B18" s="22"/>
      <c r="C18" s="22"/>
      <c r="D18" s="23"/>
      <c r="E18" s="24"/>
      <c r="F18" s="24"/>
      <c r="G18" s="23"/>
    </row>
    <row r="19">
      <c r="A19" s="20">
        <v>12.0</v>
      </c>
      <c r="B19" s="22"/>
      <c r="C19" s="22"/>
      <c r="D19" s="23"/>
      <c r="E19" s="24"/>
      <c r="F19" s="24"/>
      <c r="G19" s="23"/>
    </row>
    <row r="20">
      <c r="A20" s="20">
        <v>13.0</v>
      </c>
      <c r="B20" s="22"/>
      <c r="C20" s="22"/>
      <c r="D20" s="23"/>
      <c r="E20" s="24"/>
      <c r="F20" s="24"/>
      <c r="G20" s="23"/>
    </row>
    <row r="21">
      <c r="A21" s="20">
        <v>14.0</v>
      </c>
      <c r="B21" s="22"/>
      <c r="C21" s="22"/>
      <c r="D21" s="23"/>
      <c r="E21" s="24"/>
      <c r="F21" s="24"/>
      <c r="G21" s="23"/>
    </row>
    <row r="22">
      <c r="A22" s="20">
        <v>15.0</v>
      </c>
      <c r="B22" s="22"/>
      <c r="C22" s="22"/>
      <c r="D22" s="23"/>
      <c r="E22" s="24"/>
      <c r="F22" s="24"/>
      <c r="G22" s="23"/>
    </row>
    <row r="23">
      <c r="A23" s="20">
        <v>16.0</v>
      </c>
      <c r="B23" s="22"/>
      <c r="C23" s="22"/>
      <c r="D23" s="23"/>
      <c r="E23" s="24"/>
      <c r="F23" s="24"/>
      <c r="G23" s="23"/>
    </row>
    <row r="24">
      <c r="A24" s="20">
        <v>17.0</v>
      </c>
      <c r="B24" s="22"/>
      <c r="C24" s="22"/>
      <c r="D24" s="23"/>
      <c r="E24" s="24"/>
      <c r="F24" s="24"/>
      <c r="G24" s="23"/>
    </row>
    <row r="25">
      <c r="A25" s="20">
        <v>18.0</v>
      </c>
      <c r="B25" s="22"/>
      <c r="C25" s="22"/>
      <c r="D25" s="23"/>
      <c r="E25" s="24"/>
      <c r="F25" s="24"/>
      <c r="G25" s="23"/>
    </row>
    <row r="26">
      <c r="A26" s="20">
        <v>19.0</v>
      </c>
      <c r="B26" s="22"/>
      <c r="C26" s="22"/>
      <c r="D26" s="23"/>
      <c r="E26" s="24"/>
      <c r="F26" s="24"/>
      <c r="G26" s="23"/>
    </row>
    <row r="27">
      <c r="A27" s="20">
        <v>20.0</v>
      </c>
      <c r="B27" s="22"/>
      <c r="C27" s="22"/>
      <c r="D27" s="23"/>
      <c r="E27" s="24"/>
      <c r="F27" s="24"/>
      <c r="G27" s="23"/>
    </row>
    <row r="28">
      <c r="A28" s="20">
        <v>21.0</v>
      </c>
      <c r="B28" s="22"/>
      <c r="C28" s="22"/>
      <c r="D28" s="23"/>
      <c r="E28" s="24"/>
      <c r="F28" s="24"/>
      <c r="G28" s="23"/>
    </row>
    <row r="29">
      <c r="A29" s="20">
        <v>22.0</v>
      </c>
      <c r="B29" s="22"/>
      <c r="C29" s="22"/>
      <c r="D29" s="23"/>
      <c r="E29" s="24"/>
      <c r="F29" s="24"/>
      <c r="G29" s="23"/>
    </row>
    <row r="30">
      <c r="A30" s="20">
        <v>23.0</v>
      </c>
      <c r="B30" s="22"/>
      <c r="C30" s="22"/>
      <c r="D30" s="23"/>
      <c r="E30" s="24"/>
      <c r="F30" s="24"/>
      <c r="G30" s="23"/>
    </row>
    <row r="31">
      <c r="A31" s="20">
        <v>24.0</v>
      </c>
      <c r="B31" s="22"/>
      <c r="C31" s="22"/>
      <c r="D31" s="23"/>
      <c r="E31" s="24"/>
      <c r="F31" s="24"/>
      <c r="G31" s="23"/>
    </row>
    <row r="32">
      <c r="A32" s="20">
        <v>25.0</v>
      </c>
      <c r="B32" s="22"/>
      <c r="C32" s="22"/>
      <c r="D32" s="23"/>
      <c r="E32" s="24"/>
      <c r="F32" s="24"/>
      <c r="G32" s="23"/>
    </row>
    <row r="33">
      <c r="A33" s="20">
        <v>26.0</v>
      </c>
      <c r="B33" s="22"/>
      <c r="C33" s="22"/>
      <c r="D33" s="23"/>
      <c r="E33" s="24"/>
      <c r="F33" s="24"/>
      <c r="G33" s="23"/>
    </row>
    <row r="34">
      <c r="A34" s="20">
        <v>27.0</v>
      </c>
      <c r="B34" s="22"/>
      <c r="C34" s="22"/>
      <c r="D34" s="23"/>
      <c r="E34" s="24"/>
      <c r="F34" s="24"/>
      <c r="G34" s="23"/>
    </row>
    <row r="35">
      <c r="A35" s="20">
        <v>28.0</v>
      </c>
      <c r="B35" s="22"/>
      <c r="C35" s="22"/>
      <c r="D35" s="23"/>
      <c r="E35" s="24"/>
      <c r="F35" s="24"/>
      <c r="G35" s="23"/>
    </row>
    <row r="36">
      <c r="A36" s="20">
        <v>29.0</v>
      </c>
      <c r="B36" s="22"/>
      <c r="C36" s="22"/>
      <c r="D36" s="23"/>
      <c r="E36" s="24"/>
      <c r="F36" s="24"/>
      <c r="G36" s="23"/>
    </row>
    <row r="37">
      <c r="A37" s="20">
        <v>30.0</v>
      </c>
      <c r="B37" s="22"/>
      <c r="C37" s="22"/>
      <c r="D37" s="23"/>
      <c r="E37" s="24"/>
      <c r="F37" s="24"/>
      <c r="G37" s="23"/>
    </row>
    <row r="38">
      <c r="A38" s="20">
        <v>31.0</v>
      </c>
      <c r="B38" s="22"/>
      <c r="C38" s="22"/>
      <c r="D38" s="23"/>
      <c r="E38" s="24"/>
      <c r="F38" s="24"/>
      <c r="G38" s="23"/>
    </row>
    <row r="39">
      <c r="A39" s="20">
        <v>32.0</v>
      </c>
      <c r="B39" s="22"/>
      <c r="C39" s="22"/>
      <c r="D39" s="23"/>
      <c r="E39" s="24"/>
      <c r="F39" s="24"/>
      <c r="G39" s="23"/>
    </row>
    <row r="40">
      <c r="A40" s="20">
        <v>33.0</v>
      </c>
      <c r="B40" s="22"/>
      <c r="C40" s="22"/>
      <c r="D40" s="23"/>
      <c r="E40" s="24"/>
      <c r="F40" s="24"/>
      <c r="G40" s="23"/>
    </row>
    <row r="41">
      <c r="A41" s="20">
        <v>34.0</v>
      </c>
      <c r="B41" s="22"/>
      <c r="C41" s="22"/>
      <c r="D41" s="23"/>
      <c r="E41" s="24"/>
      <c r="F41" s="24"/>
      <c r="G41" s="23"/>
    </row>
    <row r="42">
      <c r="A42" s="20">
        <v>35.0</v>
      </c>
      <c r="B42" s="22"/>
      <c r="C42" s="22"/>
      <c r="D42" s="23"/>
      <c r="E42" s="24"/>
      <c r="F42" s="24"/>
      <c r="G42" s="23"/>
    </row>
    <row r="43">
      <c r="A43" s="20">
        <v>36.0</v>
      </c>
      <c r="B43" s="22"/>
      <c r="C43" s="22"/>
      <c r="D43" s="23"/>
      <c r="E43" s="24"/>
      <c r="F43" s="24"/>
      <c r="G43" s="23"/>
    </row>
    <row r="44">
      <c r="A44" s="20">
        <v>37.0</v>
      </c>
      <c r="B44" s="22"/>
      <c r="C44" s="22"/>
      <c r="D44" s="23"/>
      <c r="E44" s="24"/>
      <c r="F44" s="24"/>
      <c r="G44" s="23"/>
    </row>
    <row r="45">
      <c r="A45" s="29"/>
      <c r="B45" s="29"/>
      <c r="C45" s="29"/>
      <c r="D45" s="29"/>
      <c r="E45" s="29"/>
      <c r="F45" s="29"/>
      <c r="G45" s="29"/>
    </row>
    <row r="46">
      <c r="A46" s="29"/>
      <c r="B46" s="29"/>
      <c r="C46" s="29"/>
      <c r="D46" s="29"/>
      <c r="E46" s="29"/>
      <c r="F46" s="29"/>
      <c r="G46" s="29"/>
    </row>
    <row r="47">
      <c r="A47" s="29"/>
      <c r="B47" s="29"/>
      <c r="C47" s="29"/>
      <c r="D47" s="29"/>
      <c r="E47" s="29"/>
      <c r="F47" s="29"/>
      <c r="G47" s="29"/>
    </row>
    <row r="48">
      <c r="A48" s="29"/>
      <c r="B48" s="29"/>
      <c r="C48" s="29"/>
      <c r="D48" s="29"/>
      <c r="E48" s="29"/>
      <c r="F48" s="29"/>
      <c r="G48" s="29"/>
    </row>
    <row r="49">
      <c r="A49" s="29"/>
      <c r="B49" s="29"/>
      <c r="C49" s="29"/>
      <c r="D49" s="29"/>
      <c r="E49" s="29"/>
      <c r="F49" s="29"/>
      <c r="G49" s="29"/>
    </row>
    <row r="50">
      <c r="A50" s="29"/>
      <c r="B50" s="29"/>
      <c r="C50" s="29"/>
      <c r="D50" s="29"/>
      <c r="E50" s="29"/>
      <c r="F50" s="29"/>
      <c r="G50" s="29"/>
    </row>
    <row r="51">
      <c r="A51" s="29"/>
      <c r="B51" s="29"/>
      <c r="C51" s="29"/>
      <c r="D51" s="29"/>
      <c r="E51" s="29"/>
      <c r="F51" s="29"/>
      <c r="G51" s="29"/>
    </row>
    <row r="52">
      <c r="A52" s="29"/>
      <c r="B52" s="29"/>
      <c r="C52" s="29"/>
      <c r="D52" s="29"/>
      <c r="E52" s="29"/>
      <c r="F52" s="29"/>
      <c r="G52" s="29"/>
    </row>
    <row r="53">
      <c r="A53" s="29"/>
      <c r="B53" s="29"/>
      <c r="C53" s="29"/>
      <c r="D53" s="29"/>
      <c r="E53" s="29"/>
      <c r="F53" s="29"/>
      <c r="G53" s="29"/>
    </row>
    <row r="54">
      <c r="A54" s="29"/>
      <c r="B54" s="29"/>
      <c r="C54" s="29"/>
      <c r="D54" s="29"/>
      <c r="E54" s="29"/>
      <c r="F54" s="29"/>
      <c r="G54" s="29"/>
    </row>
    <row r="55">
      <c r="A55" s="29"/>
      <c r="B55" s="29"/>
      <c r="C55" s="29"/>
      <c r="D55" s="29"/>
      <c r="E55" s="29"/>
      <c r="F55" s="29"/>
      <c r="G55" s="29"/>
    </row>
    <row r="56">
      <c r="A56" s="29"/>
      <c r="B56" s="29"/>
      <c r="C56" s="29"/>
      <c r="D56" s="29"/>
      <c r="E56" s="29"/>
      <c r="F56" s="29"/>
      <c r="G56" s="29"/>
    </row>
    <row r="57">
      <c r="A57" s="29"/>
      <c r="B57" s="29"/>
      <c r="C57" s="29"/>
      <c r="D57" s="29"/>
      <c r="E57" s="29"/>
      <c r="F57" s="29"/>
      <c r="G57" s="29"/>
    </row>
    <row r="58">
      <c r="A58" s="29"/>
      <c r="B58" s="29"/>
      <c r="C58" s="29"/>
      <c r="D58" s="29"/>
      <c r="E58" s="29"/>
      <c r="F58" s="29"/>
      <c r="G58" s="29"/>
    </row>
    <row r="59">
      <c r="A59" s="29"/>
      <c r="B59" s="29"/>
      <c r="C59" s="29"/>
      <c r="D59" s="29"/>
      <c r="E59" s="29"/>
      <c r="F59" s="29"/>
      <c r="G59" s="29"/>
    </row>
    <row r="60">
      <c r="A60" s="29"/>
      <c r="B60" s="29"/>
      <c r="C60" s="29"/>
      <c r="D60" s="29"/>
      <c r="E60" s="29"/>
      <c r="F60" s="29"/>
      <c r="G60" s="29"/>
    </row>
    <row r="61">
      <c r="A61" s="29"/>
      <c r="B61" s="29"/>
      <c r="C61" s="29"/>
      <c r="D61" s="29"/>
      <c r="E61" s="29"/>
      <c r="F61" s="29"/>
      <c r="G61" s="29"/>
    </row>
  </sheetData>
  <mergeCells count="8">
    <mergeCell ref="A3:G3"/>
    <mergeCell ref="A4:G4"/>
    <mergeCell ref="A6:A7"/>
    <mergeCell ref="B6:B7"/>
    <mergeCell ref="C6:C7"/>
    <mergeCell ref="D6:D7"/>
    <mergeCell ref="E6:F6"/>
    <mergeCell ref="G6:G7"/>
  </mergeCells>
  <hyperlinks>
    <hyperlink r:id="rId1" ref="A1"/>
  </hyperlinks>
  <drawing r:id="rId2"/>
</worksheet>
</file>